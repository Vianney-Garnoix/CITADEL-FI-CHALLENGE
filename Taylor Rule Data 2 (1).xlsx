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\Downloads\"/>
    </mc:Choice>
  </mc:AlternateContent>
  <xr:revisionPtr revIDLastSave="0" documentId="13_ncr:1_{44D6E80E-FCC1-48F7-81E5-50E00FDDDBDA}" xr6:coauthVersionLast="47" xr6:coauthVersionMax="47" xr10:uidLastSave="{00000000-0000-0000-0000-000000000000}"/>
  <bookViews>
    <workbookView xWindow="-108" yWindow="-108" windowWidth="23256" windowHeight="12456" xr2:uid="{6F88C2B4-51CA-46AD-8418-AECF70B41E3A}"/>
  </bookViews>
  <sheets>
    <sheet name="OLS" sheetId="8" r:id="rId1"/>
    <sheet name="Market implied inflation" sheetId="1" r:id="rId2"/>
    <sheet name="Monthly CPI" sheetId="4" r:id="rId3"/>
    <sheet name="Synchronising Time" sheetId="6" r:id="rId4"/>
    <sheet name="Expected inflation" sheetId="5" r:id="rId5"/>
    <sheet name="Growth (GVA)" sheetId="3" r:id="rId6"/>
    <sheet name="Rate decision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8" l="1" a="1"/>
  <c r="K13" i="8" s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3" i="8"/>
  <c r="B2" i="6"/>
  <c r="C2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3" i="6"/>
  <c r="I4" i="6"/>
  <c r="I2" i="6"/>
  <c r="B4" i="6"/>
  <c r="B5" i="6"/>
  <c r="B6" i="6"/>
  <c r="B7" i="6"/>
  <c r="B8" i="6"/>
  <c r="B9" i="6"/>
  <c r="B20" i="6"/>
  <c r="B21" i="6"/>
  <c r="B22" i="6"/>
  <c r="B23" i="6"/>
  <c r="B24" i="6"/>
  <c r="B25" i="6"/>
  <c r="B36" i="6"/>
  <c r="B37" i="6"/>
  <c r="B38" i="6"/>
  <c r="B39" i="6"/>
  <c r="B40" i="6"/>
  <c r="B41" i="6"/>
  <c r="B52" i="6"/>
  <c r="B53" i="6"/>
  <c r="B54" i="6"/>
  <c r="B55" i="6"/>
  <c r="B56" i="6"/>
  <c r="B57" i="6"/>
  <c r="B68" i="6"/>
  <c r="B69" i="6"/>
  <c r="B70" i="6"/>
  <c r="B71" i="6"/>
  <c r="B72" i="6"/>
  <c r="B73" i="6"/>
  <c r="D4" i="6"/>
  <c r="D5" i="6"/>
  <c r="D6" i="6"/>
  <c r="D7" i="6"/>
  <c r="D20" i="6"/>
  <c r="D21" i="6"/>
  <c r="D22" i="6"/>
  <c r="D23" i="6"/>
  <c r="D36" i="6"/>
  <c r="D37" i="6"/>
  <c r="D38" i="6"/>
  <c r="D39" i="6"/>
  <c r="D52" i="6"/>
  <c r="D53" i="6"/>
  <c r="D54" i="6"/>
  <c r="D55" i="6"/>
  <c r="D68" i="6"/>
  <c r="D69" i="6"/>
  <c r="D70" i="6"/>
  <c r="D71" i="6"/>
  <c r="C6" i="6"/>
  <c r="C7" i="6"/>
  <c r="C8" i="6"/>
  <c r="C22" i="6"/>
  <c r="C23" i="6"/>
  <c r="C24" i="6"/>
  <c r="C25" i="6"/>
  <c r="C26" i="6"/>
  <c r="C27" i="6"/>
  <c r="C38" i="6"/>
  <c r="C39" i="6"/>
  <c r="C40" i="6"/>
  <c r="C41" i="6"/>
  <c r="C42" i="6"/>
  <c r="C43" i="6"/>
  <c r="C44" i="6"/>
  <c r="C45" i="6"/>
  <c r="C46" i="6"/>
  <c r="C54" i="6"/>
  <c r="C55" i="6"/>
  <c r="C56" i="6"/>
  <c r="C57" i="6"/>
  <c r="C58" i="6"/>
  <c r="C59" i="6"/>
  <c r="C60" i="6"/>
  <c r="C61" i="6"/>
  <c r="C62" i="6"/>
  <c r="C63" i="6"/>
  <c r="C64" i="6"/>
  <c r="C65" i="6"/>
  <c r="A2" i="6"/>
  <c r="A3" i="6"/>
  <c r="C3" i="6" s="1"/>
  <c r="A4" i="6"/>
  <c r="C4" i="6" s="1"/>
  <c r="A5" i="6"/>
  <c r="C5" i="6" s="1"/>
  <c r="A6" i="6"/>
  <c r="A7" i="6"/>
  <c r="A8" i="6"/>
  <c r="D8" i="6" s="1"/>
  <c r="A9" i="6"/>
  <c r="C9" i="6" s="1"/>
  <c r="A10" i="6"/>
  <c r="B10" i="6" s="1"/>
  <c r="A11" i="6"/>
  <c r="B11" i="6" s="1"/>
  <c r="A12" i="6"/>
  <c r="B12" i="6" s="1"/>
  <c r="A13" i="6"/>
  <c r="D13" i="6" s="1"/>
  <c r="A14" i="6"/>
  <c r="D14" i="6" s="1"/>
  <c r="A15" i="6"/>
  <c r="C15" i="6" s="1"/>
  <c r="A16" i="6"/>
  <c r="D16" i="6" s="1"/>
  <c r="A17" i="6"/>
  <c r="B17" i="6" s="1"/>
  <c r="A18" i="6"/>
  <c r="C18" i="6" s="1"/>
  <c r="A19" i="6"/>
  <c r="C19" i="6" s="1"/>
  <c r="A20" i="6"/>
  <c r="C20" i="6" s="1"/>
  <c r="A21" i="6"/>
  <c r="C21" i="6" s="1"/>
  <c r="A22" i="6"/>
  <c r="A23" i="6"/>
  <c r="A24" i="6"/>
  <c r="D24" i="6" s="1"/>
  <c r="A25" i="6"/>
  <c r="D25" i="6" s="1"/>
  <c r="A26" i="6"/>
  <c r="B26" i="6" s="1"/>
  <c r="A27" i="6"/>
  <c r="B27" i="6" s="1"/>
  <c r="A28" i="6"/>
  <c r="C28" i="6" s="1"/>
  <c r="A29" i="6"/>
  <c r="C29" i="6" s="1"/>
  <c r="A30" i="6"/>
  <c r="D30" i="6" s="1"/>
  <c r="A31" i="6"/>
  <c r="D31" i="6" s="1"/>
  <c r="A32" i="6"/>
  <c r="C32" i="6" s="1"/>
  <c r="A33" i="6"/>
  <c r="B33" i="6" s="1"/>
  <c r="A34" i="6"/>
  <c r="B34" i="6" s="1"/>
  <c r="A35" i="6"/>
  <c r="C35" i="6" s="1"/>
  <c r="A36" i="6"/>
  <c r="A37" i="6"/>
  <c r="C37" i="6" s="1"/>
  <c r="A38" i="6"/>
  <c r="A39" i="6"/>
  <c r="A40" i="6"/>
  <c r="D40" i="6" s="1"/>
  <c r="A41" i="6"/>
  <c r="D41" i="6" s="1"/>
  <c r="A42" i="6"/>
  <c r="B42" i="6" s="1"/>
  <c r="A43" i="6"/>
  <c r="B43" i="6" s="1"/>
  <c r="A44" i="6"/>
  <c r="B44" i="6" s="1"/>
  <c r="A45" i="6"/>
  <c r="B45" i="6" s="1"/>
  <c r="A46" i="6"/>
  <c r="B46" i="6" s="1"/>
  <c r="A47" i="6"/>
  <c r="C47" i="6" s="1"/>
  <c r="A48" i="6"/>
  <c r="D48" i="6" s="1"/>
  <c r="A49" i="6"/>
  <c r="D49" i="6" s="1"/>
  <c r="A50" i="6"/>
  <c r="B50" i="6" s="1"/>
  <c r="A51" i="6"/>
  <c r="C51" i="6" s="1"/>
  <c r="A52" i="6"/>
  <c r="C52" i="6" s="1"/>
  <c r="A53" i="6"/>
  <c r="C53" i="6" s="1"/>
  <c r="A54" i="6"/>
  <c r="A55" i="6"/>
  <c r="A56" i="6"/>
  <c r="D56" i="6" s="1"/>
  <c r="A57" i="6"/>
  <c r="D57" i="6" s="1"/>
  <c r="A58" i="6"/>
  <c r="B58" i="6" s="1"/>
  <c r="A59" i="6"/>
  <c r="B59" i="6" s="1"/>
  <c r="A60" i="6"/>
  <c r="B60" i="6" s="1"/>
  <c r="A61" i="6"/>
  <c r="D61" i="6" s="1"/>
  <c r="A62" i="6"/>
  <c r="D62" i="6" s="1"/>
  <c r="A63" i="6"/>
  <c r="B63" i="6" s="1"/>
  <c r="A64" i="6"/>
  <c r="B64" i="6" s="1"/>
  <c r="A65" i="6"/>
  <c r="B65" i="6" s="1"/>
  <c r="A66" i="6"/>
  <c r="C66" i="6" s="1"/>
  <c r="A67" i="6"/>
  <c r="C67" i="6" s="1"/>
  <c r="A68" i="6"/>
  <c r="A69" i="6"/>
  <c r="C69" i="6" s="1"/>
  <c r="A70" i="6"/>
  <c r="C70" i="6" s="1"/>
  <c r="A71" i="6"/>
  <c r="C71" i="6" s="1"/>
  <c r="A72" i="6"/>
  <c r="D72" i="6" s="1"/>
  <c r="A73" i="6"/>
  <c r="D73" i="6" s="1"/>
  <c r="A74" i="6"/>
  <c r="B74" i="6" s="1"/>
  <c r="A75" i="6"/>
  <c r="B75" i="6" s="1"/>
  <c r="A76" i="6"/>
  <c r="C76" i="6" s="1"/>
  <c r="A77" i="6"/>
  <c r="C77" i="6" s="1"/>
  <c r="A78" i="6"/>
  <c r="D78" i="6" s="1"/>
  <c r="A79" i="6"/>
  <c r="D79" i="6" s="1"/>
  <c r="A80" i="6"/>
  <c r="D80" i="6" s="1"/>
  <c r="A81" i="6"/>
  <c r="B81" i="6" s="1"/>
  <c r="A82" i="6"/>
  <c r="B82" i="6" s="1"/>
  <c r="A1" i="6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4" i="1"/>
  <c r="D5" i="1"/>
  <c r="D6" i="1"/>
  <c r="D7" i="1"/>
  <c r="D3" i="1"/>
  <c r="C82" i="6" l="1"/>
  <c r="C80" i="6"/>
  <c r="C79" i="6"/>
  <c r="D81" i="6"/>
  <c r="D64" i="6"/>
  <c r="D32" i="6"/>
  <c r="B67" i="6"/>
  <c r="B51" i="6"/>
  <c r="B3" i="6"/>
  <c r="C17" i="6"/>
  <c r="D63" i="6"/>
  <c r="D47" i="6"/>
  <c r="D15" i="6"/>
  <c r="B18" i="6"/>
  <c r="C16" i="6"/>
  <c r="D46" i="6"/>
  <c r="B49" i="6"/>
  <c r="C34" i="6"/>
  <c r="D77" i="6"/>
  <c r="D45" i="6"/>
  <c r="D29" i="6"/>
  <c r="B80" i="6"/>
  <c r="B32" i="6"/>
  <c r="B16" i="6"/>
  <c r="C14" i="6"/>
  <c r="D76" i="6"/>
  <c r="D60" i="6"/>
  <c r="D44" i="6"/>
  <c r="D12" i="6"/>
  <c r="B79" i="6"/>
  <c r="B47" i="6"/>
  <c r="B31" i="6"/>
  <c r="B15" i="6"/>
  <c r="C73" i="6"/>
  <c r="C13" i="6"/>
  <c r="D75" i="6"/>
  <c r="D59" i="6"/>
  <c r="D43" i="6"/>
  <c r="D27" i="6"/>
  <c r="D11" i="6"/>
  <c r="B78" i="6"/>
  <c r="B62" i="6"/>
  <c r="B30" i="6"/>
  <c r="B14" i="6"/>
  <c r="C72" i="6"/>
  <c r="C50" i="6"/>
  <c r="C31" i="6"/>
  <c r="C12" i="6"/>
  <c r="D74" i="6"/>
  <c r="D58" i="6"/>
  <c r="D42" i="6"/>
  <c r="D26" i="6"/>
  <c r="D10" i="6"/>
  <c r="B77" i="6"/>
  <c r="B61" i="6"/>
  <c r="B29" i="6"/>
  <c r="B13" i="6"/>
  <c r="C49" i="6"/>
  <c r="C30" i="6"/>
  <c r="C11" i="6"/>
  <c r="D9" i="6"/>
  <c r="B76" i="6"/>
  <c r="B28" i="6"/>
  <c r="D82" i="6"/>
  <c r="D66" i="6"/>
  <c r="D50" i="6"/>
  <c r="D34" i="6"/>
  <c r="D18" i="6"/>
  <c r="D65" i="6"/>
  <c r="D33" i="6"/>
  <c r="D17" i="6"/>
  <c r="B85" i="6" a="1"/>
  <c r="B85" i="6" s="1"/>
  <c r="B35" i="6"/>
  <c r="C75" i="6"/>
  <c r="B48" i="6"/>
  <c r="C74" i="6"/>
  <c r="C33" i="6"/>
  <c r="D28" i="6"/>
  <c r="C48" i="6"/>
  <c r="C10" i="6"/>
  <c r="C81" i="6"/>
  <c r="D2" i="6"/>
  <c r="D67" i="6"/>
  <c r="D51" i="6"/>
  <c r="D35" i="6"/>
  <c r="D19" i="6"/>
  <c r="D3" i="6"/>
  <c r="C78" i="6"/>
  <c r="B19" i="6"/>
  <c r="B66" i="6"/>
  <c r="C68" i="6"/>
  <c r="C3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B010C8-7EA2-4ACD-80D6-CBD246E61E34}" keepAlive="1" name="Requête - DDPoint72" description="Connexion à la requête « DDPoint72 » dans le classeur." type="5" refreshedVersion="0" background="1">
    <dbPr connection="Provider=Microsoft.Mashup.OleDb.1;Data Source=$Workbook$;Location=DDPoint72;Extended Properties=&quot;&quot;" command="SELECT * FROM [DDPoint7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<sst xmlns="http://schemas.openxmlformats.org/spreadsheetml/2006/main" count="281" uniqueCount="151">
  <si>
    <t>Maturity (years):</t>
  </si>
  <si>
    <t>Real</t>
  </si>
  <si>
    <t>Nominal</t>
  </si>
  <si>
    <t>Breakeven Inflation</t>
  </si>
  <si>
    <t>Rate</t>
  </si>
  <si>
    <t>Bank Rate history and data | Bank of England Database</t>
  </si>
  <si>
    <t>2026 FEB</t>
  </si>
  <si>
    <t>2026 JAN</t>
  </si>
  <si>
    <t>2025 DEC</t>
  </si>
  <si>
    <t>2025 NOV</t>
  </si>
  <si>
    <t>2025 OCT</t>
  </si>
  <si>
    <t>2025 SEP</t>
  </si>
  <si>
    <t>2025 AUG</t>
  </si>
  <si>
    <t>2025 JUL</t>
  </si>
  <si>
    <t>2025 JUN</t>
  </si>
  <si>
    <t>2025 MAY</t>
  </si>
  <si>
    <t>2025 APR</t>
  </si>
  <si>
    <t>2025 MAR</t>
  </si>
  <si>
    <t>2025 FEB</t>
  </si>
  <si>
    <t>2025 JAN</t>
  </si>
  <si>
    <t>2024 DEC</t>
  </si>
  <si>
    <t>2024 NOV</t>
  </si>
  <si>
    <t>2024 OCT</t>
  </si>
  <si>
    <t>2024 SEP</t>
  </si>
  <si>
    <t>2024 AUG</t>
  </si>
  <si>
    <t>2024 JUL</t>
  </si>
  <si>
    <t>2024 JUN</t>
  </si>
  <si>
    <t>2024 MAY</t>
  </si>
  <si>
    <t>2024 APR</t>
  </si>
  <si>
    <t>2024 MAR</t>
  </si>
  <si>
    <t>2024 FEB</t>
  </si>
  <si>
    <t>2024 JAN</t>
  </si>
  <si>
    <t>2023 DEC</t>
  </si>
  <si>
    <t>2023 NOV</t>
  </si>
  <si>
    <t>2023 OCT</t>
  </si>
  <si>
    <t>2023 SEP</t>
  </si>
  <si>
    <t>2023 AUG</t>
  </si>
  <si>
    <t>2023 JUL</t>
  </si>
  <si>
    <t>2023 JUN</t>
  </si>
  <si>
    <t>2023 MAY</t>
  </si>
  <si>
    <t>2023 APR</t>
  </si>
  <si>
    <t>2023 MAR</t>
  </si>
  <si>
    <t>2023 FEB</t>
  </si>
  <si>
    <t>2023 JAN</t>
  </si>
  <si>
    <t>2022 DEC</t>
  </si>
  <si>
    <t>2022 NOV</t>
  </si>
  <si>
    <t>2022 OCT</t>
  </si>
  <si>
    <t>2022 SEP</t>
  </si>
  <si>
    <t>2022 AUG</t>
  </si>
  <si>
    <t>2022 JUL</t>
  </si>
  <si>
    <t>2022 JUN</t>
  </si>
  <si>
    <t>2022 MAY</t>
  </si>
  <si>
    <t>2022 APR</t>
  </si>
  <si>
    <t>2022 MAR</t>
  </si>
  <si>
    <t>2022 FEB</t>
  </si>
  <si>
    <t>2022 JAN</t>
  </si>
  <si>
    <t>2021 DEC</t>
  </si>
  <si>
    <t>2021 NOV</t>
  </si>
  <si>
    <t>2021 OCT</t>
  </si>
  <si>
    <t>2021 SEP</t>
  </si>
  <si>
    <t>2021 AUG</t>
  </si>
  <si>
    <t>2021 JUL</t>
  </si>
  <si>
    <t>2021 JUN</t>
  </si>
  <si>
    <t>2021 MAY</t>
  </si>
  <si>
    <t>2021 APR</t>
  </si>
  <si>
    <t>2021 MAR</t>
  </si>
  <si>
    <t>2021 FEB</t>
  </si>
  <si>
    <t>2021 JAN</t>
  </si>
  <si>
    <t>2020 DEC</t>
  </si>
  <si>
    <t>2020 NOV</t>
  </si>
  <si>
    <t>2020 OCT</t>
  </si>
  <si>
    <t>2020 SEP</t>
  </si>
  <si>
    <t>2020 AUG</t>
  </si>
  <si>
    <t>2020 JUL</t>
  </si>
  <si>
    <t>2020 JUN</t>
  </si>
  <si>
    <t>2020 MAY</t>
  </si>
  <si>
    <t>2020 APR</t>
  </si>
  <si>
    <t>2020 MAR</t>
  </si>
  <si>
    <t>2020 FEB</t>
  </si>
  <si>
    <t>2020 JAN</t>
  </si>
  <si>
    <t>2019 DEC</t>
  </si>
  <si>
    <t>2019 NOV</t>
  </si>
  <si>
    <t>2019 OCT</t>
  </si>
  <si>
    <t>2019 SEP</t>
  </si>
  <si>
    <t>2019 AUG</t>
  </si>
  <si>
    <t>2019 JUL</t>
  </si>
  <si>
    <t>2019 JUN</t>
  </si>
  <si>
    <t>2019 MAY</t>
  </si>
  <si>
    <t>2019 APR</t>
  </si>
  <si>
    <t>2019 MAR</t>
  </si>
  <si>
    <t>2019 FEB</t>
  </si>
  <si>
    <t>2019 JAN</t>
  </si>
  <si>
    <t>2018 DEC</t>
  </si>
  <si>
    <t>2018 NOV</t>
  </si>
  <si>
    <t>2018 OCT</t>
  </si>
  <si>
    <t>2018 SEP</t>
  </si>
  <si>
    <t>2018 AUG</t>
  </si>
  <si>
    <t>2018 JUL</t>
  </si>
  <si>
    <t>2018 JUN</t>
  </si>
  <si>
    <t>2018 MAY</t>
  </si>
  <si>
    <t>2018 APR</t>
  </si>
  <si>
    <t>2018 MAR</t>
  </si>
  <si>
    <t>2018 FEB</t>
  </si>
  <si>
    <t>2018 JAN</t>
  </si>
  <si>
    <t>2017 DEC</t>
  </si>
  <si>
    <t>2017 NOV</t>
  </si>
  <si>
    <t>2017 OCT</t>
  </si>
  <si>
    <t>2017 SEP</t>
  </si>
  <si>
    <t>2017 AUG</t>
  </si>
  <si>
    <t>2017 JUL</t>
  </si>
  <si>
    <t>2017 JUN</t>
  </si>
  <si>
    <t>2017 MAY</t>
  </si>
  <si>
    <t>2017 APR</t>
  </si>
  <si>
    <t>2017 MAR</t>
  </si>
  <si>
    <t>2017 FEB</t>
  </si>
  <si>
    <t>2017 JAN</t>
  </si>
  <si>
    <t>2016 DEC</t>
  </si>
  <si>
    <t>2016 NOV</t>
  </si>
  <si>
    <t>2016 OCT</t>
  </si>
  <si>
    <t>2016 SEP</t>
  </si>
  <si>
    <t>2016 AUG</t>
  </si>
  <si>
    <t>2016 JUL</t>
  </si>
  <si>
    <t>2016 JUN</t>
  </si>
  <si>
    <t>2016 MAY</t>
  </si>
  <si>
    <t>2016 APR</t>
  </si>
  <si>
    <t>2016 MAR</t>
  </si>
  <si>
    <t>2016 FEB</t>
  </si>
  <si>
    <t>2016 JAN</t>
  </si>
  <si>
    <t>Gross Value Added - Monthly (3 month on 3 month growth) :CVM SA</t>
  </si>
  <si>
    <t>Title</t>
  </si>
  <si>
    <t>CPI ANNUAL RATE 00: ALL ITEMS 2015=100</t>
  </si>
  <si>
    <t>Date</t>
  </si>
  <si>
    <t>12 month rolling CPI</t>
  </si>
  <si>
    <t>Meeting Date</t>
  </si>
  <si>
    <t>Decision Date</t>
  </si>
  <si>
    <t>Growth</t>
  </si>
  <si>
    <t>Rate Decision</t>
  </si>
  <si>
    <t>Linear Regression</t>
  </si>
  <si>
    <t>coefficient</t>
  </si>
  <si>
    <t>Inflation</t>
  </si>
  <si>
    <t>Const</t>
  </si>
  <si>
    <t>s.d.</t>
  </si>
  <si>
    <t>r^2 value</t>
  </si>
  <si>
    <t>F statistic, df</t>
  </si>
  <si>
    <t>3 month rolling average</t>
  </si>
  <si>
    <t>3 month rolling CPI</t>
  </si>
  <si>
    <t>Growth Gap</t>
  </si>
  <si>
    <t>Rolling CPI Gap</t>
  </si>
  <si>
    <t>GVA</t>
  </si>
  <si>
    <t>3 month  CPI average</t>
  </si>
  <si>
    <t>Last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</si>
</sst>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dd\ mmm\ yy"/>
    <numFmt numFmtId="165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1" fillId="0" borderId="0"/>
    <xf numFmtId="0" fontId="6" fillId="0" borderId="0"/>
  </cellStyleXfs>
  <cellXfs count="20">
    <xf numFmtId="0" fontId="0" fillId="0" borderId="0" xfId="0"/>
    <xf numFmtId="164" fontId="2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/>
    <xf numFmtId="164" fontId="2" fillId="0" borderId="0" xfId="1" applyNumberFormat="1" applyFont="1" applyAlignment="1">
      <alignment horizontal="right"/>
    </xf>
    <xf numFmtId="2" fontId="3" fillId="0" borderId="0" xfId="1" applyNumberFormat="1"/>
    <xf numFmtId="164" fontId="2" fillId="0" borderId="0" xfId="2" applyNumberFormat="1" applyFont="1" applyAlignment="1">
      <alignment horizontal="right"/>
    </xf>
    <xf numFmtId="2" fontId="3" fillId="0" borderId="0" xfId="2" applyNumberFormat="1"/>
    <xf numFmtId="0" fontId="4" fillId="0" borderId="0" xfId="4"/>
    <xf numFmtId="2" fontId="4" fillId="0" borderId="0" xfId="4" applyNumberFormat="1"/>
    <xf numFmtId="0" fontId="5" fillId="0" borderId="0" xfId="4" applyFont="1"/>
    <xf numFmtId="0" fontId="6" fillId="0" borderId="0" xfId="6"/>
    <xf numFmtId="165" fontId="6" fillId="0" borderId="0" xfId="6" applyNumberFormat="1"/>
    <xf numFmtId="0" fontId="7" fillId="0" borderId="0" xfId="6" applyFont="1"/>
    <xf numFmtId="165" fontId="7" fillId="0" borderId="0" xfId="6" applyNumberFormat="1" applyFont="1"/>
    <xf numFmtId="14" fontId="7" fillId="0" borderId="0" xfId="6" applyNumberFormat="1" applyFont="1"/>
    <xf numFmtId="14" fontId="4" fillId="0" borderId="0" xfId="4" applyNumberFormat="1"/>
    <xf numFmtId="14" fontId="0" fillId="0" borderId="0" xfId="0" applyNumberFormat="1"/>
    <xf numFmtId="0" fontId="4" fillId="0" borderId="0" xfId="4" applyAlignment="1">
      <alignment horizontal="center"/>
    </xf>
    <xf numFmtId="0" fontId="4" fillId="0" borderId="0" xfId="4"/>
  </cellXfs>
  <cellStyles count="7">
    <cellStyle name="Milliers 2" xfId="3" xr:uid="{AA39D00A-E8BA-4E03-867C-0C68D93A1DE6}"/>
    <cellStyle name="Normal" xfId="0" builtinId="0"/>
    <cellStyle name="Normal 2" xfId="1" xr:uid="{C0E1F3B5-63F7-41E5-BE1F-BD5111DB78D2}"/>
    <cellStyle name="Normal 2 2" xfId="5" xr:uid="{E8E2D74E-551A-4DE6-9405-E932AF45CC2E}"/>
    <cellStyle name="Normal 3" xfId="2" xr:uid="{7E422B91-2CCC-4681-9195-05590B2148D0}"/>
    <cellStyle name="Normal 4" xfId="4" xr:uid="{40409D10-EC22-4549-9B5B-DDD8304C2822}"/>
    <cellStyle name="Normal 5" xfId="6" xr:uid="{72EF82B6-1A08-44E7-AE80-08EF4693DA2B}"/>
  </cellStyles>
  <dxfs count="0"/>
  <tableStyles count="1" defaultTableStyle="TableStyleMedium2" defaultPivotStyle="PivotStyleLight16">
    <tableStyle name="Invisible" pivot="0" table="0" count="0" xr9:uid="{D7C5E626-2D0D-4A12-847E-D2C5A1C0E6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DD1D-D723-4938-81FB-319A994F863B}">
  <dimension ref="A2:N83"/>
  <sheetViews>
    <sheetView tabSelected="1" zoomScale="77" workbookViewId="0">
      <selection activeCell="M21" sqref="M21"/>
    </sheetView>
  </sheetViews>
  <sheetFormatPr baseColWidth="10" defaultRowHeight="14.4" x14ac:dyDescent="0.3"/>
  <cols>
    <col min="1" max="1" width="14.88671875" customWidth="1"/>
    <col min="2" max="2" width="23.6640625" customWidth="1"/>
    <col min="9" max="9" width="12.88671875" customWidth="1"/>
    <col min="10" max="10" width="16.109375" customWidth="1"/>
    <col min="13" max="13" width="17.77734375" bestFit="1" customWidth="1"/>
    <col min="14" max="14" width="17.21875" customWidth="1"/>
  </cols>
  <sheetData>
    <row r="2" spans="1:14" x14ac:dyDescent="0.3">
      <c r="A2" s="17" t="s">
        <v>133</v>
      </c>
      <c r="B2" t="s">
        <v>149</v>
      </c>
      <c r="C2" t="s">
        <v>147</v>
      </c>
      <c r="D2" t="s">
        <v>146</v>
      </c>
      <c r="E2" t="s">
        <v>150</v>
      </c>
      <c r="F2" t="s">
        <v>148</v>
      </c>
      <c r="G2" t="s">
        <v>136</v>
      </c>
    </row>
    <row r="3" spans="1:14" x14ac:dyDescent="0.3">
      <c r="A3" s="17">
        <v>46100</v>
      </c>
      <c r="B3">
        <v>3.2000000000000006</v>
      </c>
      <c r="C3">
        <f>B3-2</f>
        <v>1.2000000000000006</v>
      </c>
      <c r="D3">
        <f>F3-2</f>
        <v>-1.7</v>
      </c>
      <c r="E3">
        <f>G4</f>
        <v>3.75</v>
      </c>
      <c r="F3">
        <v>0.3</v>
      </c>
      <c r="G3">
        <v>3.75</v>
      </c>
    </row>
    <row r="4" spans="1:14" x14ac:dyDescent="0.3">
      <c r="A4" s="17">
        <v>46058</v>
      </c>
      <c r="B4">
        <v>3.4</v>
      </c>
      <c r="C4">
        <f t="shared" ref="C4:C67" si="0">B4-2</f>
        <v>1.4</v>
      </c>
      <c r="D4">
        <f>F4-2</f>
        <v>-2</v>
      </c>
      <c r="E4">
        <f t="shared" ref="E4:E67" si="1">G5</f>
        <v>3.75</v>
      </c>
      <c r="F4">
        <v>0</v>
      </c>
      <c r="G4">
        <v>3.75</v>
      </c>
    </row>
    <row r="5" spans="1:14" x14ac:dyDescent="0.3">
      <c r="A5" s="17">
        <v>46009</v>
      </c>
      <c r="B5">
        <v>3.2</v>
      </c>
      <c r="C5">
        <f t="shared" si="0"/>
        <v>1.2000000000000002</v>
      </c>
      <c r="D5">
        <f>F5-2</f>
        <v>-2.1</v>
      </c>
      <c r="E5">
        <f t="shared" si="1"/>
        <v>4</v>
      </c>
      <c r="F5">
        <v>-0.1</v>
      </c>
      <c r="G5">
        <v>3.75</v>
      </c>
    </row>
    <row r="6" spans="1:14" x14ac:dyDescent="0.3">
      <c r="A6" s="17">
        <v>45967</v>
      </c>
      <c r="B6">
        <v>3.6</v>
      </c>
      <c r="C6">
        <f t="shared" si="0"/>
        <v>1.6</v>
      </c>
      <c r="D6">
        <f>F6-2</f>
        <v>-2.1</v>
      </c>
      <c r="E6">
        <f t="shared" si="1"/>
        <v>4</v>
      </c>
      <c r="F6">
        <v>-0.1</v>
      </c>
      <c r="G6">
        <v>4</v>
      </c>
    </row>
    <row r="7" spans="1:14" x14ac:dyDescent="0.3">
      <c r="A7" s="17">
        <v>45918</v>
      </c>
      <c r="B7">
        <v>3.8</v>
      </c>
      <c r="C7">
        <f t="shared" si="0"/>
        <v>1.7999999999999998</v>
      </c>
      <c r="D7">
        <f>F7-2</f>
        <v>-2</v>
      </c>
      <c r="E7">
        <f t="shared" si="1"/>
        <v>4</v>
      </c>
      <c r="F7">
        <v>0</v>
      </c>
      <c r="G7">
        <v>4</v>
      </c>
    </row>
    <row r="8" spans="1:14" x14ac:dyDescent="0.3">
      <c r="A8" s="17">
        <v>45876</v>
      </c>
      <c r="B8">
        <v>3.8</v>
      </c>
      <c r="C8">
        <f t="shared" si="0"/>
        <v>1.7999999999999998</v>
      </c>
      <c r="D8">
        <f>F8-2</f>
        <v>-1.8</v>
      </c>
      <c r="E8">
        <f t="shared" si="1"/>
        <v>4.25</v>
      </c>
      <c r="F8">
        <v>0.2</v>
      </c>
      <c r="G8">
        <v>4</v>
      </c>
    </row>
    <row r="9" spans="1:14" x14ac:dyDescent="0.3">
      <c r="A9" s="17">
        <v>45827</v>
      </c>
      <c r="B9">
        <v>3.6</v>
      </c>
      <c r="C9">
        <f t="shared" si="0"/>
        <v>1.6</v>
      </c>
      <c r="D9">
        <f>F9-2</f>
        <v>-1.9</v>
      </c>
      <c r="E9">
        <f t="shared" si="1"/>
        <v>4.25</v>
      </c>
      <c r="F9">
        <v>0.1</v>
      </c>
      <c r="G9">
        <v>4.25</v>
      </c>
    </row>
    <row r="10" spans="1:14" x14ac:dyDescent="0.3">
      <c r="A10" s="17">
        <v>45785</v>
      </c>
      <c r="B10">
        <v>3.4</v>
      </c>
      <c r="C10">
        <f t="shared" si="0"/>
        <v>1.4</v>
      </c>
      <c r="D10">
        <f>F10-2</f>
        <v>-1.7</v>
      </c>
      <c r="E10">
        <f t="shared" si="1"/>
        <v>4.5</v>
      </c>
      <c r="F10">
        <v>0.3</v>
      </c>
      <c r="G10">
        <v>4.25</v>
      </c>
    </row>
    <row r="11" spans="1:14" x14ac:dyDescent="0.3">
      <c r="A11" s="17">
        <v>45736</v>
      </c>
      <c r="B11">
        <v>2.6</v>
      </c>
      <c r="C11">
        <f t="shared" si="0"/>
        <v>0.60000000000000009</v>
      </c>
      <c r="D11">
        <f>F11-2</f>
        <v>-1.4</v>
      </c>
      <c r="E11">
        <f t="shared" si="1"/>
        <v>4.5</v>
      </c>
      <c r="F11">
        <v>0.6</v>
      </c>
      <c r="G11">
        <v>4.5</v>
      </c>
      <c r="K11" t="s">
        <v>137</v>
      </c>
    </row>
    <row r="12" spans="1:14" x14ac:dyDescent="0.3">
      <c r="A12" s="17">
        <v>45694</v>
      </c>
      <c r="B12">
        <v>2.8</v>
      </c>
      <c r="C12">
        <f t="shared" si="0"/>
        <v>0.79999999999999982</v>
      </c>
      <c r="D12">
        <f>F12-2</f>
        <v>-1.4</v>
      </c>
      <c r="E12">
        <f t="shared" si="1"/>
        <v>4.75</v>
      </c>
      <c r="F12">
        <v>0.6</v>
      </c>
      <c r="G12">
        <v>4.5</v>
      </c>
      <c r="K12" t="s">
        <v>150</v>
      </c>
      <c r="L12" t="s">
        <v>139</v>
      </c>
      <c r="M12" t="s">
        <v>135</v>
      </c>
      <c r="N12" t="s">
        <v>140</v>
      </c>
    </row>
    <row r="13" spans="1:14" x14ac:dyDescent="0.3">
      <c r="A13" s="17">
        <v>45645</v>
      </c>
      <c r="B13">
        <v>2.5</v>
      </c>
      <c r="C13">
        <f t="shared" si="0"/>
        <v>0.5</v>
      </c>
      <c r="D13">
        <f>F13-2</f>
        <v>-1.6</v>
      </c>
      <c r="E13">
        <f t="shared" si="1"/>
        <v>4.75</v>
      </c>
      <c r="F13">
        <v>0.4</v>
      </c>
      <c r="G13">
        <v>4.75</v>
      </c>
      <c r="J13" t="s">
        <v>138</v>
      </c>
      <c r="K13" cm="1">
        <f t="array" ref="K13:N17">LINEST(G3:G28,C3:E28,TRUE,TRUE)</f>
        <v>1.0159617474192117</v>
      </c>
      <c r="L13">
        <v>9.0782311384303579E-2</v>
      </c>
      <c r="M13">
        <v>6.9073686202928405E-2</v>
      </c>
      <c r="N13">
        <v>-5.5855247044235945E-2</v>
      </c>
    </row>
    <row r="14" spans="1:14" x14ac:dyDescent="0.3">
      <c r="A14" s="17">
        <v>45603</v>
      </c>
      <c r="B14">
        <v>2.6</v>
      </c>
      <c r="C14">
        <f t="shared" si="0"/>
        <v>0.60000000000000009</v>
      </c>
      <c r="D14">
        <f>F14-2</f>
        <v>-1.8</v>
      </c>
      <c r="E14">
        <f t="shared" si="1"/>
        <v>5</v>
      </c>
      <c r="F14">
        <v>0.2</v>
      </c>
      <c r="G14">
        <v>4.75</v>
      </c>
      <c r="J14" t="s">
        <v>141</v>
      </c>
      <c r="K14">
        <v>5.0910027272807599E-2</v>
      </c>
      <c r="L14">
        <v>9.784404695077506E-2</v>
      </c>
      <c r="M14">
        <v>1.2380556375831896E-2</v>
      </c>
      <c r="N14">
        <v>0.30640031353623598</v>
      </c>
    </row>
    <row r="15" spans="1:14" x14ac:dyDescent="0.3">
      <c r="A15" s="17">
        <v>45554</v>
      </c>
      <c r="B15">
        <v>1.7</v>
      </c>
      <c r="C15">
        <f t="shared" si="0"/>
        <v>-0.30000000000000004</v>
      </c>
      <c r="D15">
        <f>F15-2</f>
        <v>-1.9</v>
      </c>
      <c r="E15">
        <f t="shared" si="1"/>
        <v>5</v>
      </c>
      <c r="F15">
        <v>0.1</v>
      </c>
      <c r="G15">
        <v>5</v>
      </c>
      <c r="J15" t="s">
        <v>142</v>
      </c>
      <c r="K15">
        <v>0.94879003696441166</v>
      </c>
      <c r="L15">
        <v>0.13563917196629352</v>
      </c>
      <c r="M15" t="e">
        <v>#N/A</v>
      </c>
      <c r="N15" t="e">
        <v>#N/A</v>
      </c>
    </row>
    <row r="16" spans="1:14" x14ac:dyDescent="0.3">
      <c r="A16" s="17">
        <v>45505</v>
      </c>
      <c r="B16">
        <v>2.2000000000000002</v>
      </c>
      <c r="C16">
        <f t="shared" si="0"/>
        <v>0.20000000000000018</v>
      </c>
      <c r="D16">
        <f>F16-2</f>
        <v>-1.9</v>
      </c>
      <c r="E16">
        <f t="shared" si="1"/>
        <v>5.25</v>
      </c>
      <c r="F16">
        <v>0.1</v>
      </c>
      <c r="G16">
        <v>5</v>
      </c>
      <c r="J16" t="s">
        <v>143</v>
      </c>
      <c r="K16">
        <v>135.8679677150005</v>
      </c>
      <c r="L16">
        <v>22</v>
      </c>
      <c r="M16" t="e">
        <v>#N/A</v>
      </c>
      <c r="N16" t="e">
        <v>#N/A</v>
      </c>
    </row>
    <row r="17" spans="1:14" x14ac:dyDescent="0.3">
      <c r="A17" s="17">
        <v>45463</v>
      </c>
      <c r="B17">
        <v>2</v>
      </c>
      <c r="C17">
        <f t="shared" si="0"/>
        <v>0</v>
      </c>
      <c r="D17">
        <f>F17-2</f>
        <v>-1.4</v>
      </c>
      <c r="E17">
        <f t="shared" si="1"/>
        <v>5.25</v>
      </c>
      <c r="F17">
        <v>0.6</v>
      </c>
      <c r="G17">
        <v>5.25</v>
      </c>
      <c r="K17">
        <v>7.4990904844687121</v>
      </c>
      <c r="L17">
        <v>0.40475566937743845</v>
      </c>
      <c r="M17" t="e">
        <v>#N/A</v>
      </c>
      <c r="N17" t="e">
        <v>#N/A</v>
      </c>
    </row>
    <row r="18" spans="1:14" x14ac:dyDescent="0.3">
      <c r="A18" s="17">
        <v>45421</v>
      </c>
      <c r="B18">
        <v>2</v>
      </c>
      <c r="C18">
        <f t="shared" si="0"/>
        <v>0</v>
      </c>
      <c r="D18">
        <f>F18-2</f>
        <v>-1.2</v>
      </c>
      <c r="E18">
        <f t="shared" si="1"/>
        <v>5.25</v>
      </c>
      <c r="F18">
        <v>0.8</v>
      </c>
      <c r="G18">
        <v>5.25</v>
      </c>
    </row>
    <row r="19" spans="1:14" x14ac:dyDescent="0.3">
      <c r="A19" s="17">
        <v>45372</v>
      </c>
      <c r="B19">
        <v>3.2</v>
      </c>
      <c r="C19">
        <f t="shared" si="0"/>
        <v>1.2000000000000002</v>
      </c>
      <c r="D19">
        <f>F19-2</f>
        <v>-1.4</v>
      </c>
      <c r="E19">
        <f t="shared" si="1"/>
        <v>5.25</v>
      </c>
      <c r="F19">
        <v>0.6</v>
      </c>
      <c r="G19">
        <v>5.25</v>
      </c>
    </row>
    <row r="20" spans="1:14" x14ac:dyDescent="0.3">
      <c r="A20" s="17">
        <v>45323</v>
      </c>
      <c r="B20">
        <v>3.4</v>
      </c>
      <c r="C20">
        <f t="shared" si="0"/>
        <v>1.4</v>
      </c>
      <c r="D20">
        <f>F20-2</f>
        <v>-1.8</v>
      </c>
      <c r="E20">
        <f t="shared" si="1"/>
        <v>5.25</v>
      </c>
      <c r="F20">
        <v>0.2</v>
      </c>
      <c r="G20">
        <v>5.25</v>
      </c>
    </row>
    <row r="21" spans="1:14" x14ac:dyDescent="0.3">
      <c r="A21" s="17">
        <v>45274</v>
      </c>
      <c r="B21">
        <v>4</v>
      </c>
      <c r="C21">
        <f t="shared" si="0"/>
        <v>2</v>
      </c>
      <c r="D21">
        <f>F21-2</f>
        <v>-2.2999999999999998</v>
      </c>
      <c r="E21">
        <f t="shared" si="1"/>
        <v>5.25</v>
      </c>
      <c r="F21">
        <v>-0.3</v>
      </c>
      <c r="G21">
        <v>5.25</v>
      </c>
    </row>
    <row r="22" spans="1:14" x14ac:dyDescent="0.3">
      <c r="A22" s="17">
        <v>45232</v>
      </c>
      <c r="B22">
        <v>3.9</v>
      </c>
      <c r="C22">
        <f t="shared" si="0"/>
        <v>1.9</v>
      </c>
      <c r="D22">
        <f>F22-2</f>
        <v>-2.4</v>
      </c>
      <c r="E22">
        <f t="shared" si="1"/>
        <v>5.25</v>
      </c>
      <c r="F22">
        <v>-0.4</v>
      </c>
      <c r="G22">
        <v>5.25</v>
      </c>
    </row>
    <row r="23" spans="1:14" x14ac:dyDescent="0.3">
      <c r="A23" s="17">
        <v>45190</v>
      </c>
      <c r="B23">
        <v>6.7</v>
      </c>
      <c r="C23">
        <f t="shared" si="0"/>
        <v>4.7</v>
      </c>
      <c r="D23">
        <f>F23-2</f>
        <v>-2.1</v>
      </c>
      <c r="E23">
        <f t="shared" si="1"/>
        <v>5.25</v>
      </c>
      <c r="F23">
        <v>-0.1</v>
      </c>
      <c r="G23">
        <v>5.25</v>
      </c>
    </row>
    <row r="24" spans="1:14" x14ac:dyDescent="0.3">
      <c r="A24" s="17">
        <v>45141</v>
      </c>
      <c r="B24">
        <v>6.7</v>
      </c>
      <c r="C24">
        <f t="shared" si="0"/>
        <v>4.7</v>
      </c>
      <c r="D24">
        <f>F24-2</f>
        <v>-1.8</v>
      </c>
      <c r="E24">
        <f t="shared" si="1"/>
        <v>5</v>
      </c>
      <c r="F24">
        <v>0.2</v>
      </c>
      <c r="G24">
        <v>5.25</v>
      </c>
    </row>
    <row r="25" spans="1:14" x14ac:dyDescent="0.3">
      <c r="A25" s="17">
        <v>45099</v>
      </c>
      <c r="B25">
        <v>7.9</v>
      </c>
      <c r="C25">
        <f t="shared" si="0"/>
        <v>5.9</v>
      </c>
      <c r="D25">
        <f>F25-2</f>
        <v>-2</v>
      </c>
      <c r="E25">
        <f t="shared" si="1"/>
        <v>4.5</v>
      </c>
      <c r="F25">
        <v>0</v>
      </c>
      <c r="G25">
        <v>5</v>
      </c>
    </row>
    <row r="26" spans="1:14" x14ac:dyDescent="0.3">
      <c r="A26" s="17">
        <v>45057</v>
      </c>
      <c r="B26">
        <v>8.6999999999999993</v>
      </c>
      <c r="C26">
        <f t="shared" si="0"/>
        <v>6.6999999999999993</v>
      </c>
      <c r="D26">
        <f>F26-2</f>
        <v>-2.1</v>
      </c>
      <c r="E26">
        <f t="shared" si="1"/>
        <v>4.25</v>
      </c>
      <c r="F26">
        <v>-0.1</v>
      </c>
      <c r="G26">
        <v>4.5</v>
      </c>
    </row>
    <row r="27" spans="1:14" x14ac:dyDescent="0.3">
      <c r="A27" s="17">
        <v>45008</v>
      </c>
      <c r="B27">
        <v>10.1</v>
      </c>
      <c r="C27">
        <f t="shared" si="0"/>
        <v>8.1</v>
      </c>
      <c r="D27">
        <f>F27-2</f>
        <v>-1.9</v>
      </c>
      <c r="E27">
        <f t="shared" si="1"/>
        <v>4</v>
      </c>
      <c r="F27">
        <v>0.1</v>
      </c>
      <c r="G27">
        <v>4.25</v>
      </c>
    </row>
    <row r="28" spans="1:14" x14ac:dyDescent="0.3">
      <c r="A28" s="17">
        <v>44959</v>
      </c>
      <c r="B28">
        <v>10.4</v>
      </c>
      <c r="C28">
        <f t="shared" si="0"/>
        <v>8.4</v>
      </c>
      <c r="D28">
        <f>F28-2</f>
        <v>-1.8</v>
      </c>
      <c r="E28">
        <f t="shared" si="1"/>
        <v>3.5</v>
      </c>
      <c r="F28">
        <v>0.2</v>
      </c>
      <c r="G28">
        <v>4</v>
      </c>
    </row>
    <row r="29" spans="1:14" x14ac:dyDescent="0.3">
      <c r="A29" s="17">
        <v>44910</v>
      </c>
      <c r="B29">
        <v>10.5</v>
      </c>
      <c r="C29">
        <f t="shared" si="0"/>
        <v>8.5</v>
      </c>
      <c r="D29">
        <f>F29-2</f>
        <v>-1.6</v>
      </c>
      <c r="E29">
        <f t="shared" si="1"/>
        <v>2.25</v>
      </c>
      <c r="F29">
        <v>0.4</v>
      </c>
      <c r="G29">
        <v>3.5</v>
      </c>
    </row>
    <row r="30" spans="1:14" x14ac:dyDescent="0.3">
      <c r="A30" s="17">
        <v>44826</v>
      </c>
      <c r="B30">
        <v>10.1</v>
      </c>
      <c r="C30">
        <f t="shared" si="0"/>
        <v>8.1</v>
      </c>
      <c r="D30">
        <f>F30-2</f>
        <v>-2</v>
      </c>
      <c r="E30">
        <f t="shared" si="1"/>
        <v>1.75</v>
      </c>
      <c r="F30">
        <v>0</v>
      </c>
      <c r="G30">
        <v>2.25</v>
      </c>
    </row>
    <row r="31" spans="1:14" x14ac:dyDescent="0.3">
      <c r="A31" s="17">
        <v>44777</v>
      </c>
      <c r="B31">
        <v>9.9</v>
      </c>
      <c r="C31">
        <f t="shared" si="0"/>
        <v>7.9</v>
      </c>
      <c r="D31">
        <f>F31-2</f>
        <v>-1.9</v>
      </c>
      <c r="E31">
        <f t="shared" si="1"/>
        <v>1.25</v>
      </c>
      <c r="F31">
        <v>0.1</v>
      </c>
      <c r="G31">
        <v>1.75</v>
      </c>
    </row>
    <row r="32" spans="1:14" x14ac:dyDescent="0.3">
      <c r="A32" s="17">
        <v>44728</v>
      </c>
      <c r="B32">
        <v>9.4</v>
      </c>
      <c r="C32">
        <f t="shared" si="0"/>
        <v>7.4</v>
      </c>
      <c r="D32">
        <f>F32-2</f>
        <v>-1.5</v>
      </c>
      <c r="E32">
        <f t="shared" si="1"/>
        <v>1</v>
      </c>
      <c r="F32">
        <v>0.5</v>
      </c>
      <c r="G32">
        <v>1.25</v>
      </c>
    </row>
    <row r="33" spans="1:7" x14ac:dyDescent="0.3">
      <c r="A33" s="17">
        <v>44686</v>
      </c>
      <c r="B33">
        <v>9.1</v>
      </c>
      <c r="C33">
        <f t="shared" si="0"/>
        <v>7.1</v>
      </c>
      <c r="D33">
        <f>F33-2</f>
        <v>-1.2</v>
      </c>
      <c r="E33">
        <f t="shared" si="1"/>
        <v>0.75</v>
      </c>
      <c r="F33">
        <v>0.8</v>
      </c>
      <c r="G33">
        <v>1</v>
      </c>
    </row>
    <row r="34" spans="1:7" x14ac:dyDescent="0.3">
      <c r="A34" s="17">
        <v>44637</v>
      </c>
      <c r="B34">
        <v>7</v>
      </c>
      <c r="C34">
        <f t="shared" si="0"/>
        <v>5</v>
      </c>
      <c r="D34">
        <f>F34-2</f>
        <v>-1.1000000000000001</v>
      </c>
      <c r="E34">
        <f t="shared" si="1"/>
        <v>0.5</v>
      </c>
      <c r="F34">
        <v>0.9</v>
      </c>
      <c r="G34">
        <v>0.75</v>
      </c>
    </row>
    <row r="35" spans="1:7" x14ac:dyDescent="0.3">
      <c r="A35" s="17">
        <v>44595</v>
      </c>
      <c r="B35">
        <v>6.2</v>
      </c>
      <c r="C35">
        <f t="shared" si="0"/>
        <v>4.2</v>
      </c>
      <c r="D35">
        <f>F35-2</f>
        <v>-1.3</v>
      </c>
      <c r="E35">
        <f t="shared" si="1"/>
        <v>0.25</v>
      </c>
      <c r="F35">
        <v>0.7</v>
      </c>
      <c r="G35">
        <v>0.5</v>
      </c>
    </row>
    <row r="36" spans="1:7" x14ac:dyDescent="0.3">
      <c r="A36" s="17">
        <v>44546</v>
      </c>
      <c r="B36">
        <v>5.4</v>
      </c>
      <c r="C36">
        <f t="shared" si="0"/>
        <v>3.4000000000000004</v>
      </c>
      <c r="D36">
        <f>F36-2</f>
        <v>-0.8</v>
      </c>
      <c r="E36">
        <f t="shared" si="1"/>
        <v>0.75</v>
      </c>
      <c r="F36">
        <v>1.2</v>
      </c>
      <c r="G36">
        <v>0.25</v>
      </c>
    </row>
    <row r="37" spans="1:7" x14ac:dyDescent="0.3">
      <c r="A37" s="17">
        <v>44504</v>
      </c>
      <c r="B37">
        <v>5.0999999999999996</v>
      </c>
      <c r="C37">
        <f t="shared" si="0"/>
        <v>3.0999999999999996</v>
      </c>
      <c r="D37">
        <f>F37-2</f>
        <v>-0.60000000000000009</v>
      </c>
      <c r="E37">
        <f t="shared" si="1"/>
        <v>0.75</v>
      </c>
      <c r="F37">
        <v>1.4</v>
      </c>
      <c r="G37">
        <v>0.75</v>
      </c>
    </row>
    <row r="38" spans="1:7" x14ac:dyDescent="0.3">
      <c r="A38" s="17">
        <v>44462</v>
      </c>
      <c r="B38">
        <v>3.1</v>
      </c>
      <c r="C38">
        <f t="shared" si="0"/>
        <v>1.1000000000000001</v>
      </c>
      <c r="D38">
        <f>F38-2</f>
        <v>-0.39999999999999991</v>
      </c>
      <c r="E38">
        <f t="shared" si="1"/>
        <v>0.75</v>
      </c>
      <c r="F38">
        <v>1.6</v>
      </c>
      <c r="G38">
        <v>0.75</v>
      </c>
    </row>
    <row r="39" spans="1:7" x14ac:dyDescent="0.3">
      <c r="A39" s="17">
        <v>44413</v>
      </c>
      <c r="B39">
        <v>3.2</v>
      </c>
      <c r="C39">
        <f t="shared" si="0"/>
        <v>1.2000000000000002</v>
      </c>
      <c r="D39">
        <f>F39-2</f>
        <v>1</v>
      </c>
      <c r="E39">
        <f t="shared" si="1"/>
        <v>0.75</v>
      </c>
      <c r="F39">
        <v>3</v>
      </c>
      <c r="G39">
        <v>0.75</v>
      </c>
    </row>
    <row r="40" spans="1:7" x14ac:dyDescent="0.3">
      <c r="A40" s="17">
        <v>44371</v>
      </c>
      <c r="B40">
        <v>2.5</v>
      </c>
      <c r="C40">
        <f t="shared" si="0"/>
        <v>0.5</v>
      </c>
      <c r="D40">
        <f>F40-2</f>
        <v>5</v>
      </c>
      <c r="E40">
        <f t="shared" si="1"/>
        <v>0.75</v>
      </c>
      <c r="F40">
        <v>7</v>
      </c>
      <c r="G40">
        <v>0.75</v>
      </c>
    </row>
    <row r="41" spans="1:7" x14ac:dyDescent="0.3">
      <c r="A41" s="17">
        <v>44322</v>
      </c>
      <c r="B41">
        <v>2.1</v>
      </c>
      <c r="C41">
        <f t="shared" si="0"/>
        <v>0.10000000000000009</v>
      </c>
      <c r="D41">
        <f>F41-2</f>
        <v>3.3</v>
      </c>
      <c r="E41">
        <f t="shared" si="1"/>
        <v>0.75</v>
      </c>
      <c r="F41">
        <v>5.3</v>
      </c>
      <c r="G41">
        <v>0.75</v>
      </c>
    </row>
    <row r="42" spans="1:7" x14ac:dyDescent="0.3">
      <c r="A42" s="17">
        <v>44273</v>
      </c>
      <c r="B42">
        <v>0.7</v>
      </c>
      <c r="C42">
        <f t="shared" si="0"/>
        <v>-1.3</v>
      </c>
      <c r="D42">
        <f>F42-2</f>
        <v>-3.1</v>
      </c>
      <c r="E42">
        <f t="shared" si="1"/>
        <v>0.75</v>
      </c>
      <c r="F42">
        <v>-1.1000000000000001</v>
      </c>
      <c r="G42">
        <v>0.75</v>
      </c>
    </row>
    <row r="43" spans="1:7" x14ac:dyDescent="0.3">
      <c r="A43" s="17">
        <v>44231</v>
      </c>
      <c r="B43">
        <v>0.4</v>
      </c>
      <c r="C43">
        <f t="shared" si="0"/>
        <v>-1.6</v>
      </c>
      <c r="D43">
        <f>F43-2</f>
        <v>-3.4</v>
      </c>
      <c r="E43">
        <f t="shared" si="1"/>
        <v>0.75</v>
      </c>
      <c r="F43">
        <v>-1.4</v>
      </c>
      <c r="G43">
        <v>0.75</v>
      </c>
    </row>
    <row r="44" spans="1:7" x14ac:dyDescent="0.3">
      <c r="A44" s="17">
        <v>44140</v>
      </c>
      <c r="B44">
        <v>0.3</v>
      </c>
      <c r="C44">
        <f t="shared" si="0"/>
        <v>-1.7</v>
      </c>
      <c r="D44">
        <f>F44-2</f>
        <v>3.4000000000000004</v>
      </c>
      <c r="E44">
        <f t="shared" si="1"/>
        <v>0.75</v>
      </c>
      <c r="F44">
        <v>5.4</v>
      </c>
      <c r="G44">
        <v>0.75</v>
      </c>
    </row>
    <row r="45" spans="1:7" x14ac:dyDescent="0.3">
      <c r="A45" s="17">
        <v>44091</v>
      </c>
      <c r="B45">
        <v>0.5</v>
      </c>
      <c r="C45">
        <f t="shared" si="0"/>
        <v>-1.5</v>
      </c>
      <c r="D45">
        <f>F45-2</f>
        <v>15.100000000000001</v>
      </c>
      <c r="E45">
        <f t="shared" si="1"/>
        <v>0.75</v>
      </c>
      <c r="F45">
        <v>17.100000000000001</v>
      </c>
      <c r="G45">
        <v>0.75</v>
      </c>
    </row>
    <row r="46" spans="1:7" x14ac:dyDescent="0.3">
      <c r="A46" s="17">
        <v>44049</v>
      </c>
      <c r="B46">
        <v>0.2</v>
      </c>
      <c r="C46">
        <f t="shared" si="0"/>
        <v>-1.8</v>
      </c>
      <c r="D46">
        <f>F46-2</f>
        <v>6.6999999999999993</v>
      </c>
      <c r="E46">
        <f t="shared" si="1"/>
        <v>0.75</v>
      </c>
      <c r="F46">
        <v>8.6999999999999993</v>
      </c>
      <c r="G46">
        <v>0.75</v>
      </c>
    </row>
    <row r="47" spans="1:7" x14ac:dyDescent="0.3">
      <c r="A47" s="17">
        <v>44000</v>
      </c>
      <c r="B47">
        <v>0.6</v>
      </c>
      <c r="C47">
        <f t="shared" si="0"/>
        <v>-1.4</v>
      </c>
      <c r="D47">
        <f>F47-2</f>
        <v>-21.9</v>
      </c>
      <c r="E47">
        <f t="shared" si="1"/>
        <v>0.75</v>
      </c>
      <c r="F47">
        <v>-19.899999999999999</v>
      </c>
      <c r="G47">
        <v>0.75</v>
      </c>
    </row>
    <row r="48" spans="1:7" x14ac:dyDescent="0.3">
      <c r="A48" s="17">
        <v>43958</v>
      </c>
      <c r="B48">
        <v>0.5</v>
      </c>
      <c r="C48">
        <f t="shared" si="0"/>
        <v>-1.5</v>
      </c>
      <c r="D48">
        <f>F48-2</f>
        <v>-20.9</v>
      </c>
      <c r="E48">
        <f t="shared" si="1"/>
        <v>0.75</v>
      </c>
      <c r="F48">
        <v>-18.899999999999999</v>
      </c>
      <c r="G48">
        <v>0.75</v>
      </c>
    </row>
    <row r="49" spans="1:7" x14ac:dyDescent="0.3">
      <c r="A49" s="17">
        <v>43916</v>
      </c>
      <c r="B49">
        <v>1.5</v>
      </c>
      <c r="C49">
        <f t="shared" si="0"/>
        <v>-0.5</v>
      </c>
      <c r="D49">
        <f>F49-2</f>
        <v>-4.5</v>
      </c>
      <c r="E49">
        <f t="shared" si="1"/>
        <v>0.75</v>
      </c>
      <c r="F49">
        <v>-2.5</v>
      </c>
      <c r="G49">
        <v>0.75</v>
      </c>
    </row>
    <row r="50" spans="1:7" x14ac:dyDescent="0.3">
      <c r="A50" s="17">
        <v>43909</v>
      </c>
      <c r="B50">
        <v>1.5</v>
      </c>
      <c r="C50">
        <f t="shared" si="0"/>
        <v>-0.5</v>
      </c>
      <c r="D50">
        <f>F50-2</f>
        <v>-4.5</v>
      </c>
      <c r="E50">
        <f t="shared" si="1"/>
        <v>0.75</v>
      </c>
      <c r="F50">
        <v>-2.5</v>
      </c>
      <c r="G50">
        <v>0.75</v>
      </c>
    </row>
    <row r="51" spans="1:7" x14ac:dyDescent="0.3">
      <c r="A51" s="17">
        <v>43901</v>
      </c>
      <c r="B51">
        <v>1.5</v>
      </c>
      <c r="C51">
        <f t="shared" si="0"/>
        <v>-0.5</v>
      </c>
      <c r="D51">
        <f>F51-2</f>
        <v>-4.5</v>
      </c>
      <c r="E51">
        <f t="shared" si="1"/>
        <v>0.75</v>
      </c>
      <c r="F51">
        <v>-2.5</v>
      </c>
      <c r="G51">
        <v>0.75</v>
      </c>
    </row>
    <row r="52" spans="1:7" x14ac:dyDescent="0.3">
      <c r="A52" s="17">
        <v>43860</v>
      </c>
      <c r="B52">
        <v>1.8</v>
      </c>
      <c r="C52">
        <f t="shared" si="0"/>
        <v>-0.19999999999999996</v>
      </c>
      <c r="D52">
        <f>F52-2</f>
        <v>-2</v>
      </c>
      <c r="E52">
        <f t="shared" si="1"/>
        <v>0.75</v>
      </c>
      <c r="F52">
        <v>0</v>
      </c>
      <c r="G52">
        <v>0.75</v>
      </c>
    </row>
    <row r="53" spans="1:7" x14ac:dyDescent="0.3">
      <c r="A53" s="17">
        <v>43818</v>
      </c>
      <c r="B53">
        <v>1.3</v>
      </c>
      <c r="C53">
        <f t="shared" si="0"/>
        <v>-0.7</v>
      </c>
      <c r="D53">
        <f>F53-2</f>
        <v>-2</v>
      </c>
      <c r="E53">
        <f t="shared" si="1"/>
        <v>0.75</v>
      </c>
      <c r="F53">
        <v>0</v>
      </c>
      <c r="G53">
        <v>0.75</v>
      </c>
    </row>
    <row r="54" spans="1:7" x14ac:dyDescent="0.3">
      <c r="A54" s="17">
        <v>43776</v>
      </c>
      <c r="B54">
        <v>1.5</v>
      </c>
      <c r="C54">
        <f t="shared" si="0"/>
        <v>-0.5</v>
      </c>
      <c r="D54">
        <f>F54-2</f>
        <v>-1.9</v>
      </c>
      <c r="E54">
        <f t="shared" si="1"/>
        <v>0.75</v>
      </c>
      <c r="F54">
        <v>0.1</v>
      </c>
      <c r="G54">
        <v>0.75</v>
      </c>
    </row>
    <row r="55" spans="1:7" x14ac:dyDescent="0.3">
      <c r="A55" s="17">
        <v>43727</v>
      </c>
      <c r="B55">
        <v>1.7</v>
      </c>
      <c r="C55">
        <f t="shared" si="0"/>
        <v>-0.30000000000000004</v>
      </c>
      <c r="D55">
        <f>F55-2</f>
        <v>-1.3</v>
      </c>
      <c r="E55">
        <f t="shared" si="1"/>
        <v>0.75</v>
      </c>
      <c r="F55">
        <v>0.7</v>
      </c>
      <c r="G55">
        <v>0.75</v>
      </c>
    </row>
    <row r="56" spans="1:7" x14ac:dyDescent="0.3">
      <c r="A56" s="17">
        <v>43678</v>
      </c>
      <c r="B56">
        <v>1.7</v>
      </c>
      <c r="C56">
        <f t="shared" si="0"/>
        <v>-0.30000000000000004</v>
      </c>
      <c r="D56">
        <f>F56-2</f>
        <v>-1.2</v>
      </c>
      <c r="E56">
        <f t="shared" si="1"/>
        <v>0.75</v>
      </c>
      <c r="F56">
        <v>0.8</v>
      </c>
      <c r="G56">
        <v>0.75</v>
      </c>
    </row>
    <row r="57" spans="1:7" x14ac:dyDescent="0.3">
      <c r="A57" s="17">
        <v>43636</v>
      </c>
      <c r="B57">
        <v>2</v>
      </c>
      <c r="C57">
        <f t="shared" si="0"/>
        <v>0</v>
      </c>
      <c r="D57">
        <f>F57-2</f>
        <v>-1.8</v>
      </c>
      <c r="E57">
        <f t="shared" si="1"/>
        <v>0.75</v>
      </c>
      <c r="F57">
        <v>0.2</v>
      </c>
      <c r="G57">
        <v>0.75</v>
      </c>
    </row>
    <row r="58" spans="1:7" x14ac:dyDescent="0.3">
      <c r="A58" s="17">
        <v>43587</v>
      </c>
      <c r="B58">
        <v>2</v>
      </c>
      <c r="C58">
        <f t="shared" si="0"/>
        <v>0</v>
      </c>
      <c r="D58">
        <f>F58-2</f>
        <v>-1.7</v>
      </c>
      <c r="E58">
        <f t="shared" si="1"/>
        <v>0.75</v>
      </c>
      <c r="F58">
        <v>0.3</v>
      </c>
      <c r="G58">
        <v>0.75</v>
      </c>
    </row>
    <row r="59" spans="1:7" x14ac:dyDescent="0.3">
      <c r="A59" s="17">
        <v>43503</v>
      </c>
      <c r="B59">
        <v>1.9</v>
      </c>
      <c r="C59">
        <f t="shared" si="0"/>
        <v>-0.10000000000000009</v>
      </c>
      <c r="D59">
        <f>F59-2</f>
        <v>-1.9</v>
      </c>
      <c r="E59">
        <f t="shared" si="1"/>
        <v>0.75</v>
      </c>
      <c r="F59">
        <v>0.1</v>
      </c>
      <c r="G59">
        <v>0.75</v>
      </c>
    </row>
    <row r="60" spans="1:7" x14ac:dyDescent="0.3">
      <c r="A60" s="17">
        <v>43489</v>
      </c>
      <c r="B60">
        <v>1.8</v>
      </c>
      <c r="C60">
        <f t="shared" si="0"/>
        <v>-0.19999999999999996</v>
      </c>
      <c r="D60">
        <f>F60-2</f>
        <v>-2</v>
      </c>
      <c r="E60">
        <f t="shared" si="1"/>
        <v>0.75</v>
      </c>
      <c r="F60">
        <v>0</v>
      </c>
      <c r="G60">
        <v>0.75</v>
      </c>
    </row>
    <row r="61" spans="1:7" x14ac:dyDescent="0.3">
      <c r="A61" s="17">
        <v>43440</v>
      </c>
      <c r="B61">
        <v>2.1</v>
      </c>
      <c r="C61">
        <f t="shared" si="0"/>
        <v>0.10000000000000009</v>
      </c>
      <c r="D61">
        <f>F61-2</f>
        <v>-1.9</v>
      </c>
      <c r="E61">
        <f t="shared" si="1"/>
        <v>0.75</v>
      </c>
      <c r="F61">
        <v>0.1</v>
      </c>
      <c r="G61">
        <v>0.75</v>
      </c>
    </row>
    <row r="62" spans="1:7" x14ac:dyDescent="0.3">
      <c r="A62" s="17">
        <v>43391</v>
      </c>
      <c r="B62">
        <v>2.4</v>
      </c>
      <c r="C62">
        <f t="shared" si="0"/>
        <v>0.39999999999999991</v>
      </c>
      <c r="D62">
        <f>F62-2</f>
        <v>-1.7</v>
      </c>
      <c r="E62">
        <f t="shared" si="1"/>
        <v>0.75</v>
      </c>
      <c r="F62">
        <v>0.3</v>
      </c>
      <c r="G62">
        <v>0.75</v>
      </c>
    </row>
    <row r="63" spans="1:7" x14ac:dyDescent="0.3">
      <c r="A63" s="17">
        <v>43314</v>
      </c>
      <c r="B63">
        <v>2.7</v>
      </c>
      <c r="C63">
        <f t="shared" si="0"/>
        <v>0.70000000000000018</v>
      </c>
      <c r="D63">
        <f>F63-2</f>
        <v>-1.5</v>
      </c>
      <c r="E63">
        <f t="shared" si="1"/>
        <v>0.5</v>
      </c>
      <c r="F63">
        <v>0.5</v>
      </c>
      <c r="G63">
        <v>0.75</v>
      </c>
    </row>
    <row r="64" spans="1:7" x14ac:dyDescent="0.3">
      <c r="A64" s="17">
        <v>43272</v>
      </c>
      <c r="B64">
        <v>2.4</v>
      </c>
      <c r="C64">
        <f t="shared" si="0"/>
        <v>0.39999999999999991</v>
      </c>
      <c r="D64">
        <f>F64-2</f>
        <v>-1.8</v>
      </c>
      <c r="E64">
        <f t="shared" si="1"/>
        <v>0.5</v>
      </c>
      <c r="F64">
        <v>0.2</v>
      </c>
      <c r="G64">
        <v>0.5</v>
      </c>
    </row>
    <row r="65" spans="1:7" x14ac:dyDescent="0.3">
      <c r="A65" s="17">
        <v>43244</v>
      </c>
      <c r="B65">
        <v>2.4</v>
      </c>
      <c r="C65">
        <f t="shared" si="0"/>
        <v>0.39999999999999991</v>
      </c>
      <c r="D65">
        <f>F65-2</f>
        <v>-2.1</v>
      </c>
      <c r="E65">
        <f t="shared" si="1"/>
        <v>0.5</v>
      </c>
      <c r="F65">
        <v>-0.1</v>
      </c>
      <c r="G65">
        <v>0.5</v>
      </c>
    </row>
    <row r="66" spans="1:7" x14ac:dyDescent="0.3">
      <c r="A66" s="17">
        <v>43195</v>
      </c>
      <c r="B66">
        <v>2.4</v>
      </c>
      <c r="C66">
        <f t="shared" si="0"/>
        <v>0.39999999999999991</v>
      </c>
      <c r="D66">
        <f>F66-2</f>
        <v>-2.1</v>
      </c>
      <c r="E66">
        <f t="shared" si="1"/>
        <v>0.5</v>
      </c>
      <c r="F66">
        <v>-0.1</v>
      </c>
      <c r="G66">
        <v>0.5</v>
      </c>
    </row>
    <row r="67" spans="1:7" x14ac:dyDescent="0.3">
      <c r="A67" s="17">
        <v>43146</v>
      </c>
      <c r="B67">
        <v>2.7</v>
      </c>
      <c r="C67">
        <f t="shared" si="0"/>
        <v>0.70000000000000018</v>
      </c>
      <c r="D67">
        <f>F67-2</f>
        <v>-1.7</v>
      </c>
      <c r="E67">
        <f t="shared" si="1"/>
        <v>0.5</v>
      </c>
      <c r="F67">
        <v>0.3</v>
      </c>
      <c r="G67">
        <v>0.5</v>
      </c>
    </row>
    <row r="68" spans="1:7" x14ac:dyDescent="0.3">
      <c r="A68" s="17">
        <v>43083</v>
      </c>
      <c r="B68">
        <v>3</v>
      </c>
      <c r="C68">
        <f t="shared" ref="C68:C83" si="2">B68-2</f>
        <v>1</v>
      </c>
      <c r="D68">
        <f>F68-2</f>
        <v>-1.3</v>
      </c>
      <c r="E68">
        <f t="shared" ref="E68:E83" si="3">G69</f>
        <v>0.5</v>
      </c>
      <c r="F68">
        <v>0.7</v>
      </c>
      <c r="G68">
        <v>0.5</v>
      </c>
    </row>
    <row r="69" spans="1:7" x14ac:dyDescent="0.3">
      <c r="A69" s="17">
        <v>43041</v>
      </c>
      <c r="B69">
        <v>3.1</v>
      </c>
      <c r="C69">
        <f t="shared" si="2"/>
        <v>1.1000000000000001</v>
      </c>
      <c r="D69">
        <f>F69-2</f>
        <v>-1.3</v>
      </c>
      <c r="E69">
        <f t="shared" si="3"/>
        <v>0.25</v>
      </c>
      <c r="F69">
        <v>0.7</v>
      </c>
      <c r="G69">
        <v>0.5</v>
      </c>
    </row>
    <row r="70" spans="1:7" x14ac:dyDescent="0.3">
      <c r="A70" s="17">
        <v>42992</v>
      </c>
      <c r="B70">
        <v>3</v>
      </c>
      <c r="C70">
        <f t="shared" si="2"/>
        <v>1</v>
      </c>
      <c r="D70">
        <f>F70-2</f>
        <v>-1.4</v>
      </c>
      <c r="E70">
        <f t="shared" si="3"/>
        <v>0.25</v>
      </c>
      <c r="F70">
        <v>0.6</v>
      </c>
      <c r="G70">
        <v>0.25</v>
      </c>
    </row>
    <row r="71" spans="1:7" x14ac:dyDescent="0.3">
      <c r="A71" s="17">
        <v>42950</v>
      </c>
      <c r="B71">
        <v>2.9</v>
      </c>
      <c r="C71">
        <f t="shared" si="2"/>
        <v>0.89999999999999991</v>
      </c>
      <c r="D71">
        <f>F71-2</f>
        <v>-1.3</v>
      </c>
      <c r="E71">
        <f t="shared" si="3"/>
        <v>0.25</v>
      </c>
      <c r="F71">
        <v>0.7</v>
      </c>
      <c r="G71">
        <v>0.25</v>
      </c>
    </row>
    <row r="72" spans="1:7" x14ac:dyDescent="0.3">
      <c r="A72" s="17">
        <v>42901</v>
      </c>
      <c r="B72">
        <v>2.6</v>
      </c>
      <c r="C72">
        <f t="shared" si="2"/>
        <v>0.60000000000000009</v>
      </c>
      <c r="D72">
        <f>F72-2</f>
        <v>-1.1000000000000001</v>
      </c>
      <c r="E72">
        <f t="shared" si="3"/>
        <v>0.25</v>
      </c>
      <c r="F72">
        <v>0.9</v>
      </c>
      <c r="G72">
        <v>0.25</v>
      </c>
    </row>
    <row r="73" spans="1:7" x14ac:dyDescent="0.3">
      <c r="A73" s="17">
        <v>42866</v>
      </c>
      <c r="B73">
        <v>2.9</v>
      </c>
      <c r="C73">
        <f t="shared" si="2"/>
        <v>0.89999999999999991</v>
      </c>
      <c r="D73">
        <f>F73-2</f>
        <v>-1.3</v>
      </c>
      <c r="E73">
        <f t="shared" si="3"/>
        <v>0.25</v>
      </c>
      <c r="F73">
        <v>0.7</v>
      </c>
      <c r="G73">
        <v>0.25</v>
      </c>
    </row>
    <row r="74" spans="1:7" x14ac:dyDescent="0.3">
      <c r="A74" s="17">
        <v>42810</v>
      </c>
      <c r="B74">
        <v>2.2999999999999998</v>
      </c>
      <c r="C74">
        <f t="shared" si="2"/>
        <v>0.29999999999999982</v>
      </c>
      <c r="D74">
        <f>F74-2</f>
        <v>-1</v>
      </c>
      <c r="E74">
        <f t="shared" si="3"/>
        <v>0.25</v>
      </c>
      <c r="F74">
        <v>1</v>
      </c>
      <c r="G74">
        <v>0.25</v>
      </c>
    </row>
    <row r="75" spans="1:7" x14ac:dyDescent="0.3">
      <c r="A75" s="17">
        <v>42768</v>
      </c>
      <c r="B75">
        <v>2.2999999999999998</v>
      </c>
      <c r="C75">
        <f t="shared" si="2"/>
        <v>0.29999999999999982</v>
      </c>
      <c r="D75">
        <f>F75-2</f>
        <v>-0.89999999999999991</v>
      </c>
      <c r="E75">
        <f t="shared" si="3"/>
        <v>0.25</v>
      </c>
      <c r="F75">
        <v>1.1000000000000001</v>
      </c>
      <c r="G75">
        <v>0.25</v>
      </c>
    </row>
    <row r="76" spans="1:7" x14ac:dyDescent="0.3">
      <c r="A76" s="17">
        <v>42719</v>
      </c>
      <c r="B76">
        <v>1.6</v>
      </c>
      <c r="C76">
        <f t="shared" si="2"/>
        <v>-0.39999999999999991</v>
      </c>
      <c r="D76">
        <f>F76-2</f>
        <v>-1.3</v>
      </c>
      <c r="E76">
        <f t="shared" si="3"/>
        <v>0.25</v>
      </c>
      <c r="F76">
        <v>0.7</v>
      </c>
      <c r="G76">
        <v>0.25</v>
      </c>
    </row>
    <row r="77" spans="1:7" x14ac:dyDescent="0.3">
      <c r="A77" s="17">
        <v>42677</v>
      </c>
      <c r="B77">
        <v>1.2</v>
      </c>
      <c r="C77">
        <f t="shared" si="2"/>
        <v>-0.8</v>
      </c>
      <c r="D77">
        <f>F77-2</f>
        <v>-1.3</v>
      </c>
      <c r="E77">
        <f t="shared" si="3"/>
        <v>0.25</v>
      </c>
      <c r="F77">
        <v>0.7</v>
      </c>
      <c r="G77">
        <v>0.25</v>
      </c>
    </row>
    <row r="78" spans="1:7" x14ac:dyDescent="0.3">
      <c r="A78" s="17">
        <v>42628</v>
      </c>
      <c r="B78">
        <v>1</v>
      </c>
      <c r="C78">
        <f t="shared" si="2"/>
        <v>-1</v>
      </c>
      <c r="D78">
        <f>F78-2</f>
        <v>-1.5</v>
      </c>
      <c r="E78">
        <f t="shared" si="3"/>
        <v>0.25</v>
      </c>
      <c r="F78">
        <v>0.5</v>
      </c>
      <c r="G78">
        <v>0.25</v>
      </c>
    </row>
    <row r="79" spans="1:7" x14ac:dyDescent="0.3">
      <c r="A79" s="17">
        <v>42586</v>
      </c>
      <c r="B79">
        <v>0.6</v>
      </c>
      <c r="C79">
        <f t="shared" si="2"/>
        <v>-1.4</v>
      </c>
      <c r="D79">
        <f>F79-2</f>
        <v>-1.5</v>
      </c>
      <c r="E79">
        <f t="shared" si="3"/>
        <v>0.5</v>
      </c>
      <c r="F79">
        <v>0.5</v>
      </c>
      <c r="G79">
        <v>0.25</v>
      </c>
    </row>
    <row r="80" spans="1:7" x14ac:dyDescent="0.3">
      <c r="A80" s="17">
        <v>42565</v>
      </c>
      <c r="B80">
        <v>0.6</v>
      </c>
      <c r="C80">
        <f t="shared" si="2"/>
        <v>-1.4</v>
      </c>
      <c r="D80">
        <f>F80-2</f>
        <v>-1.6</v>
      </c>
      <c r="E80">
        <f t="shared" si="3"/>
        <v>0.5</v>
      </c>
      <c r="F80">
        <v>0.4</v>
      </c>
      <c r="G80">
        <v>0.5</v>
      </c>
    </row>
    <row r="81" spans="1:7" x14ac:dyDescent="0.3">
      <c r="A81" s="17">
        <v>42446</v>
      </c>
      <c r="B81">
        <v>0.5</v>
      </c>
      <c r="C81">
        <f t="shared" si="2"/>
        <v>-1.5</v>
      </c>
      <c r="D81">
        <f>F81-2</f>
        <v>-1.4</v>
      </c>
      <c r="E81">
        <f t="shared" si="3"/>
        <v>0.5</v>
      </c>
      <c r="F81">
        <v>0.6</v>
      </c>
      <c r="G81">
        <v>0.5</v>
      </c>
    </row>
    <row r="82" spans="1:7" x14ac:dyDescent="0.3">
      <c r="A82" s="17">
        <v>42404</v>
      </c>
      <c r="B82">
        <v>0.3</v>
      </c>
      <c r="C82">
        <f t="shared" si="2"/>
        <v>-1.7</v>
      </c>
      <c r="D82">
        <f>F82-2</f>
        <v>-1.3</v>
      </c>
      <c r="E82">
        <f t="shared" si="3"/>
        <v>0.5</v>
      </c>
      <c r="F82">
        <v>0.7</v>
      </c>
      <c r="G82">
        <v>0.5</v>
      </c>
    </row>
    <row r="83" spans="1:7" x14ac:dyDescent="0.3">
      <c r="A83" s="17">
        <v>42383</v>
      </c>
      <c r="B83">
        <v>0.3</v>
      </c>
      <c r="C83">
        <f t="shared" si="2"/>
        <v>-1.7</v>
      </c>
      <c r="D83">
        <f>F83-2</f>
        <v>-1.5</v>
      </c>
      <c r="E83">
        <f t="shared" si="3"/>
        <v>0</v>
      </c>
      <c r="F83">
        <v>0.5</v>
      </c>
      <c r="G8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CCA9-F5FF-4B2F-89D2-C57880DBBC53}">
  <dimension ref="A1:D125"/>
  <sheetViews>
    <sheetView workbookViewId="0">
      <selection activeCell="E3" sqref="E3"/>
    </sheetView>
  </sheetViews>
  <sheetFormatPr baseColWidth="10" defaultRowHeight="14.4" x14ac:dyDescent="0.3"/>
  <cols>
    <col min="1" max="1" width="15.33203125" customWidth="1"/>
    <col min="4" max="4" width="16.33203125" bestFit="1" customWidth="1"/>
  </cols>
  <sheetData>
    <row r="1" spans="1:4" x14ac:dyDescent="0.3">
      <c r="B1" t="s">
        <v>1</v>
      </c>
      <c r="C1" t="s">
        <v>2</v>
      </c>
      <c r="D1" t="s">
        <v>3</v>
      </c>
    </row>
    <row r="2" spans="1:4" x14ac:dyDescent="0.3">
      <c r="A2" s="1" t="s">
        <v>0</v>
      </c>
      <c r="B2" s="2">
        <v>3</v>
      </c>
      <c r="C2">
        <v>3</v>
      </c>
      <c r="D2">
        <v>3</v>
      </c>
    </row>
    <row r="3" spans="1:4" x14ac:dyDescent="0.3">
      <c r="A3" s="1">
        <v>42400</v>
      </c>
      <c r="B3" s="3">
        <v>-1.5686486889602544</v>
      </c>
      <c r="C3" s="5">
        <v>0.55807807049974256</v>
      </c>
      <c r="D3" s="3">
        <f>C3-B3 + B3/B3 - 1</f>
        <v>2.1267267594599968</v>
      </c>
    </row>
    <row r="4" spans="1:4" x14ac:dyDescent="0.3">
      <c r="A4" s="1">
        <v>42429</v>
      </c>
      <c r="B4" s="3">
        <v>-1.4527808075589215</v>
      </c>
      <c r="C4" s="5">
        <v>0.3761143536675941</v>
      </c>
      <c r="D4" s="3">
        <f t="shared" ref="D4:D67" si="0">C4-B4 + B4/B4 - 1</f>
        <v>1.8288951612265159</v>
      </c>
    </row>
    <row r="5" spans="1:4" x14ac:dyDescent="0.3">
      <c r="A5" s="1">
        <v>42460</v>
      </c>
      <c r="B5" s="3">
        <v>-1.8109517463099722</v>
      </c>
      <c r="C5" s="5">
        <v>0.47807175835889487</v>
      </c>
      <c r="D5" s="3">
        <f t="shared" si="0"/>
        <v>2.2890235046688669</v>
      </c>
    </row>
    <row r="6" spans="1:4" x14ac:dyDescent="0.3">
      <c r="A6" s="1">
        <v>42490</v>
      </c>
      <c r="B6" s="3">
        <v>-1.7484740707029391</v>
      </c>
      <c r="C6" s="5">
        <v>0.61329710095711476</v>
      </c>
      <c r="D6" s="3">
        <f t="shared" si="0"/>
        <v>2.3617711716600538</v>
      </c>
    </row>
    <row r="7" spans="1:4" x14ac:dyDescent="0.3">
      <c r="A7" s="1">
        <v>42521</v>
      </c>
      <c r="B7" s="3">
        <v>-1.7021795275167093</v>
      </c>
      <c r="C7" s="5">
        <v>0.56381111436506826</v>
      </c>
      <c r="D7" s="3">
        <f t="shared" si="0"/>
        <v>2.2659906418817775</v>
      </c>
    </row>
    <row r="8" spans="1:4" x14ac:dyDescent="0.3">
      <c r="A8" s="1">
        <v>42551</v>
      </c>
      <c r="B8" s="3">
        <v>-2.3247166734518339</v>
      </c>
      <c r="C8" s="5">
        <v>0.15376132531094669</v>
      </c>
      <c r="D8" s="3">
        <f t="shared" si="0"/>
        <v>2.4784779987627807</v>
      </c>
    </row>
    <row r="9" spans="1:4" x14ac:dyDescent="0.3">
      <c r="A9" s="1">
        <v>42582</v>
      </c>
      <c r="B9" s="3">
        <v>-2.5179292653248075</v>
      </c>
      <c r="C9" s="5">
        <v>9.4549321113017962E-2</v>
      </c>
      <c r="D9" s="3">
        <f t="shared" si="0"/>
        <v>2.6124785864378257</v>
      </c>
    </row>
    <row r="10" spans="1:4" x14ac:dyDescent="0.3">
      <c r="A10" s="1">
        <v>42613</v>
      </c>
      <c r="B10" s="3">
        <v>-2.7095691768383907</v>
      </c>
      <c r="C10" s="5">
        <v>0.10443917093226007</v>
      </c>
      <c r="D10" s="3">
        <f t="shared" si="0"/>
        <v>2.8140083477706508</v>
      </c>
    </row>
    <row r="11" spans="1:4" x14ac:dyDescent="0.3">
      <c r="A11" s="1">
        <v>42643</v>
      </c>
      <c r="B11" s="3">
        <v>-2.634130792752567</v>
      </c>
      <c r="C11" s="5">
        <v>0.10386473021177728</v>
      </c>
      <c r="D11" s="3">
        <f t="shared" si="0"/>
        <v>2.7379955229643445</v>
      </c>
    </row>
    <row r="12" spans="1:4" x14ac:dyDescent="0.3">
      <c r="A12" s="1">
        <v>42674</v>
      </c>
      <c r="B12" s="3">
        <v>-2.8666554936858923</v>
      </c>
      <c r="C12" s="5">
        <v>0.34749201078496389</v>
      </c>
      <c r="D12" s="3">
        <f t="shared" si="0"/>
        <v>3.2141475044708567</v>
      </c>
    </row>
    <row r="13" spans="1:4" x14ac:dyDescent="0.3">
      <c r="A13" s="1">
        <v>42704</v>
      </c>
      <c r="B13" s="3">
        <v>-2.7736653350186704</v>
      </c>
      <c r="C13" s="5">
        <v>0.28689011687897836</v>
      </c>
      <c r="D13" s="3">
        <f t="shared" si="0"/>
        <v>3.060555451897649</v>
      </c>
    </row>
    <row r="14" spans="1:4" x14ac:dyDescent="0.3">
      <c r="A14" s="1">
        <v>42735</v>
      </c>
      <c r="B14" s="3">
        <v>-2.9624990671964304</v>
      </c>
      <c r="C14" s="5">
        <v>0.18900596193886507</v>
      </c>
      <c r="D14" s="3">
        <f t="shared" si="0"/>
        <v>3.1515050291352953</v>
      </c>
    </row>
    <row r="15" spans="1:4" x14ac:dyDescent="0.3">
      <c r="A15" s="1">
        <v>42766</v>
      </c>
      <c r="B15" s="3">
        <v>-3.0740167931910816</v>
      </c>
      <c r="C15" s="5">
        <v>0.33937523440717016</v>
      </c>
      <c r="D15" s="3">
        <f t="shared" si="0"/>
        <v>3.4133920275982517</v>
      </c>
    </row>
    <row r="16" spans="1:4" x14ac:dyDescent="0.3">
      <c r="A16" s="1">
        <v>42794</v>
      </c>
      <c r="B16" s="3">
        <v>-2.965241372471072</v>
      </c>
      <c r="C16" s="5">
        <v>0.13505246608781871</v>
      </c>
      <c r="D16" s="3">
        <f t="shared" si="0"/>
        <v>3.1002938385588905</v>
      </c>
    </row>
    <row r="17" spans="1:4" x14ac:dyDescent="0.3">
      <c r="A17" s="1">
        <v>42825</v>
      </c>
      <c r="B17" s="3">
        <v>-3.2222822157909925</v>
      </c>
      <c r="C17" s="5">
        <v>0.16520204353968626</v>
      </c>
      <c r="D17" s="3">
        <f t="shared" si="0"/>
        <v>3.3874842593306784</v>
      </c>
    </row>
    <row r="18" spans="1:4" x14ac:dyDescent="0.3">
      <c r="A18" s="1">
        <v>42855</v>
      </c>
      <c r="B18" s="3">
        <v>-3.0441815896393414</v>
      </c>
      <c r="C18" s="5">
        <v>0.12637008532855298</v>
      </c>
      <c r="D18" s="3">
        <f t="shared" si="0"/>
        <v>3.1705516749678946</v>
      </c>
    </row>
    <row r="19" spans="1:4" x14ac:dyDescent="0.3">
      <c r="A19" s="1">
        <v>42886</v>
      </c>
      <c r="B19" s="3">
        <v>-2.9570640545008717</v>
      </c>
      <c r="C19" s="5">
        <v>0.13918856765953627</v>
      </c>
      <c r="D19" s="3">
        <f t="shared" si="0"/>
        <v>3.0962526221604083</v>
      </c>
    </row>
    <row r="20" spans="1:4" x14ac:dyDescent="0.3">
      <c r="A20" s="1">
        <v>42916</v>
      </c>
      <c r="B20" s="3">
        <v>-2.6534716605561237</v>
      </c>
      <c r="C20" s="5">
        <v>0.38404338038863028</v>
      </c>
      <c r="D20" s="3">
        <f t="shared" si="0"/>
        <v>3.0375150409447542</v>
      </c>
    </row>
    <row r="21" spans="1:4" x14ac:dyDescent="0.3">
      <c r="A21" s="1">
        <v>42947</v>
      </c>
      <c r="B21" s="3">
        <v>-2.6280207196821679</v>
      </c>
      <c r="C21" s="5">
        <v>0.29719529217494917</v>
      </c>
      <c r="D21" s="3">
        <f t="shared" si="0"/>
        <v>2.9252160118571169</v>
      </c>
    </row>
    <row r="22" spans="1:4" x14ac:dyDescent="0.3">
      <c r="A22" s="1">
        <v>42978</v>
      </c>
      <c r="B22" s="3">
        <v>-2.8147592125631244</v>
      </c>
      <c r="C22" s="5">
        <v>0.18863071126453901</v>
      </c>
      <c r="D22" s="3">
        <f t="shared" si="0"/>
        <v>3.0033899238276636</v>
      </c>
    </row>
    <row r="23" spans="1:4" x14ac:dyDescent="0.3">
      <c r="A23" s="1">
        <v>43008</v>
      </c>
      <c r="B23" s="3">
        <v>-2.5299924819541535</v>
      </c>
      <c r="C23" s="5">
        <v>0.52959763358002299</v>
      </c>
      <c r="D23" s="3">
        <f t="shared" si="0"/>
        <v>3.059590115534176</v>
      </c>
    </row>
    <row r="24" spans="1:4" x14ac:dyDescent="0.3">
      <c r="A24" s="1">
        <v>43039</v>
      </c>
      <c r="B24" s="3">
        <v>-2.4180318595056098</v>
      </c>
      <c r="C24" s="5">
        <v>0.54222845869169045</v>
      </c>
      <c r="D24" s="3">
        <f t="shared" si="0"/>
        <v>2.9602603181973004</v>
      </c>
    </row>
    <row r="25" spans="1:4" x14ac:dyDescent="0.3">
      <c r="A25" s="1">
        <v>43069</v>
      </c>
      <c r="B25" s="3">
        <v>-2.3262583743938894</v>
      </c>
      <c r="C25" s="5">
        <v>0.58515562568816415</v>
      </c>
      <c r="D25" s="3">
        <f t="shared" si="0"/>
        <v>2.9114140000820536</v>
      </c>
    </row>
    <row r="26" spans="1:4" x14ac:dyDescent="0.3">
      <c r="A26" s="1">
        <v>43100</v>
      </c>
      <c r="B26" s="3">
        <v>-2.3219026170163062</v>
      </c>
      <c r="C26" s="5">
        <v>0.51894384536555538</v>
      </c>
      <c r="D26" s="3">
        <f t="shared" si="0"/>
        <v>2.8408464623818617</v>
      </c>
    </row>
    <row r="27" spans="1:4" x14ac:dyDescent="0.3">
      <c r="A27" s="1">
        <v>43131</v>
      </c>
      <c r="B27" s="3">
        <v>-2.1269601578509163</v>
      </c>
      <c r="C27" s="5">
        <v>0.80668144952390863</v>
      </c>
      <c r="D27" s="3">
        <f t="shared" si="0"/>
        <v>2.9336416073748248</v>
      </c>
    </row>
    <row r="28" spans="1:4" x14ac:dyDescent="0.3">
      <c r="A28" s="1">
        <v>43159</v>
      </c>
      <c r="B28" s="3">
        <v>-1.9769346750259238</v>
      </c>
      <c r="C28" s="5">
        <v>0.8429386843982426</v>
      </c>
      <c r="D28" s="3">
        <f t="shared" si="0"/>
        <v>2.8198733594241663</v>
      </c>
    </row>
    <row r="29" spans="1:4" x14ac:dyDescent="0.3">
      <c r="A29" s="1">
        <v>43190</v>
      </c>
      <c r="B29" s="3">
        <v>-2.2740790258868055</v>
      </c>
      <c r="C29" s="5">
        <v>0.85539258490092829</v>
      </c>
      <c r="D29" s="3">
        <f t="shared" si="0"/>
        <v>3.1294716107877338</v>
      </c>
    </row>
    <row r="30" spans="1:4" x14ac:dyDescent="0.3">
      <c r="A30" s="1">
        <v>43220</v>
      </c>
      <c r="B30" s="3">
        <v>-2.1503189438412824</v>
      </c>
      <c r="C30" s="5">
        <v>0.82866097286230922</v>
      </c>
      <c r="D30" s="3">
        <f t="shared" si="0"/>
        <v>2.9789799167035915</v>
      </c>
    </row>
    <row r="31" spans="1:4" x14ac:dyDescent="0.3">
      <c r="A31" s="1">
        <v>43251</v>
      </c>
      <c r="B31" s="3">
        <v>-2.389378910985962</v>
      </c>
      <c r="C31" s="5">
        <v>0.66142238293932165</v>
      </c>
      <c r="D31" s="3">
        <f t="shared" si="0"/>
        <v>3.050801293925284</v>
      </c>
    </row>
    <row r="32" spans="1:4" x14ac:dyDescent="0.3">
      <c r="A32" s="1">
        <v>43281</v>
      </c>
      <c r="B32" s="3">
        <v>-2.2149373702447757</v>
      </c>
      <c r="C32" s="5">
        <v>0.77169669302154642</v>
      </c>
      <c r="D32" s="3">
        <f t="shared" si="0"/>
        <v>2.986634063266322</v>
      </c>
    </row>
    <row r="33" spans="1:4" x14ac:dyDescent="0.3">
      <c r="A33" s="1">
        <v>43312</v>
      </c>
      <c r="B33" s="3">
        <v>-2.1330165726920192</v>
      </c>
      <c r="C33" s="5">
        <v>0.82844178144376901</v>
      </c>
      <c r="D33" s="3">
        <f t="shared" si="0"/>
        <v>2.9614583541357882</v>
      </c>
    </row>
    <row r="34" spans="1:4" x14ac:dyDescent="0.3">
      <c r="A34" s="1">
        <v>43343</v>
      </c>
      <c r="B34" s="3">
        <v>-2.1969787170613002</v>
      </c>
      <c r="C34" s="5">
        <v>0.818517991767584</v>
      </c>
      <c r="D34" s="3">
        <f t="shared" si="0"/>
        <v>3.0154967088288842</v>
      </c>
    </row>
    <row r="35" spans="1:4" x14ac:dyDescent="0.3">
      <c r="A35" s="1">
        <v>43373</v>
      </c>
      <c r="B35" s="3">
        <v>-2.3497654828489796</v>
      </c>
      <c r="C35" s="5">
        <v>0.93722932247379098</v>
      </c>
      <c r="D35" s="3">
        <f t="shared" si="0"/>
        <v>3.2869948053227702</v>
      </c>
    </row>
    <row r="36" spans="1:4" x14ac:dyDescent="0.3">
      <c r="A36" s="1">
        <v>43404</v>
      </c>
      <c r="B36" s="3">
        <v>-2.1961063145020097</v>
      </c>
      <c r="C36" s="5">
        <v>0.82341968483183059</v>
      </c>
      <c r="D36" s="3">
        <f t="shared" si="0"/>
        <v>3.0195259993338404</v>
      </c>
    </row>
    <row r="37" spans="1:4" x14ac:dyDescent="0.3">
      <c r="A37" s="1">
        <v>43434</v>
      </c>
      <c r="B37" s="3">
        <v>-2.3428891534049545</v>
      </c>
      <c r="C37" s="5">
        <v>0.79050512991849031</v>
      </c>
      <c r="D37" s="3">
        <f t="shared" si="0"/>
        <v>3.1333942833234447</v>
      </c>
    </row>
    <row r="38" spans="1:4" x14ac:dyDescent="0.3">
      <c r="A38" s="1">
        <v>43465</v>
      </c>
      <c r="B38" s="3">
        <v>-2.4773190082695744</v>
      </c>
      <c r="C38" s="5">
        <v>0.77135590402323528</v>
      </c>
      <c r="D38" s="3">
        <f t="shared" si="0"/>
        <v>3.2486749122928096</v>
      </c>
    </row>
    <row r="39" spans="1:4" x14ac:dyDescent="0.3">
      <c r="A39" s="1">
        <v>43496</v>
      </c>
      <c r="B39" s="3"/>
      <c r="C39" s="5">
        <v>0.77664865467435085</v>
      </c>
      <c r="D39" s="3" t="e">
        <f t="shared" si="0"/>
        <v>#DIV/0!</v>
      </c>
    </row>
    <row r="40" spans="1:4" x14ac:dyDescent="0.3">
      <c r="A40" s="1">
        <v>43524</v>
      </c>
      <c r="B40" s="3"/>
      <c r="C40" s="5">
        <v>0.84793651909720991</v>
      </c>
      <c r="D40" s="3" t="e">
        <f t="shared" si="0"/>
        <v>#DIV/0!</v>
      </c>
    </row>
    <row r="41" spans="1:4" x14ac:dyDescent="0.3">
      <c r="A41" s="1">
        <v>43555</v>
      </c>
      <c r="B41" s="3"/>
      <c r="C41" s="5">
        <v>0.63439129052273502</v>
      </c>
      <c r="D41" s="3" t="e">
        <f t="shared" si="0"/>
        <v>#DIV/0!</v>
      </c>
    </row>
    <row r="42" spans="1:4" x14ac:dyDescent="0.3">
      <c r="A42" s="1">
        <v>43585</v>
      </c>
      <c r="B42" s="3"/>
      <c r="C42" s="5">
        <v>0.76309544715966793</v>
      </c>
      <c r="D42" s="3" t="e">
        <f t="shared" si="0"/>
        <v>#DIV/0!</v>
      </c>
    </row>
    <row r="43" spans="1:4" x14ac:dyDescent="0.3">
      <c r="A43" s="1">
        <v>43616</v>
      </c>
      <c r="B43" s="3"/>
      <c r="C43" s="5">
        <v>0.56618569614845748</v>
      </c>
      <c r="D43" s="3" t="e">
        <f t="shared" si="0"/>
        <v>#DIV/0!</v>
      </c>
    </row>
    <row r="44" spans="1:4" x14ac:dyDescent="0.3">
      <c r="A44" s="1">
        <v>43646</v>
      </c>
      <c r="B44" s="3"/>
      <c r="C44" s="5">
        <v>0.57347807556193608</v>
      </c>
      <c r="D44" s="3" t="e">
        <f t="shared" si="0"/>
        <v>#DIV/0!</v>
      </c>
    </row>
    <row r="45" spans="1:4" x14ac:dyDescent="0.3">
      <c r="A45" s="1">
        <v>43677</v>
      </c>
      <c r="B45" s="3"/>
      <c r="C45" s="5">
        <v>0.35371936085003575</v>
      </c>
      <c r="D45" s="3" t="e">
        <f t="shared" si="0"/>
        <v>#DIV/0!</v>
      </c>
    </row>
    <row r="46" spans="1:4" x14ac:dyDescent="0.3">
      <c r="A46" s="1">
        <v>43708</v>
      </c>
      <c r="B46" s="3">
        <v>-3.1624533092453539</v>
      </c>
      <c r="C46" s="5">
        <v>0.33592687407929639</v>
      </c>
      <c r="D46" s="3">
        <f t="shared" si="0"/>
        <v>3.4983801833246506</v>
      </c>
    </row>
    <row r="47" spans="1:4" x14ac:dyDescent="0.3">
      <c r="A47" s="1">
        <v>43738</v>
      </c>
      <c r="B47" s="3">
        <v>-3.2887525215247226</v>
      </c>
      <c r="C47" s="5">
        <v>0.28235618656809447</v>
      </c>
      <c r="D47" s="3">
        <f t="shared" si="0"/>
        <v>3.571108708092817</v>
      </c>
    </row>
    <row r="48" spans="1:4" x14ac:dyDescent="0.3">
      <c r="A48" s="1">
        <v>43769</v>
      </c>
      <c r="B48" s="3">
        <v>-2.6287076564380589</v>
      </c>
      <c r="C48" s="5">
        <v>0.42363649317721896</v>
      </c>
      <c r="D48" s="3">
        <f t="shared" si="0"/>
        <v>3.0523441496152781</v>
      </c>
    </row>
    <row r="49" spans="1:4" x14ac:dyDescent="0.3">
      <c r="A49" s="1">
        <v>43799</v>
      </c>
      <c r="B49" s="3">
        <v>-2.4366865959665853</v>
      </c>
      <c r="C49" s="5">
        <v>0.49694732973135708</v>
      </c>
      <c r="D49" s="3">
        <f t="shared" si="0"/>
        <v>2.9336339256979422</v>
      </c>
    </row>
    <row r="50" spans="1:4" x14ac:dyDescent="0.3">
      <c r="A50" s="1">
        <v>43830</v>
      </c>
      <c r="B50" s="3">
        <v>-2.4435780983657627</v>
      </c>
      <c r="C50" s="5">
        <v>0.53449275252249839</v>
      </c>
      <c r="D50" s="3">
        <f t="shared" si="0"/>
        <v>2.978070850888261</v>
      </c>
    </row>
    <row r="51" spans="1:4" x14ac:dyDescent="0.3">
      <c r="A51" s="1">
        <v>43861</v>
      </c>
      <c r="B51" s="3">
        <v>-2.5507156772699031</v>
      </c>
      <c r="C51" s="5">
        <v>0.40810096476378566</v>
      </c>
      <c r="D51" s="3">
        <f t="shared" si="0"/>
        <v>2.958816642033689</v>
      </c>
    </row>
    <row r="52" spans="1:4" x14ac:dyDescent="0.3">
      <c r="A52" s="1">
        <v>43890</v>
      </c>
      <c r="B52" s="3">
        <v>-2.5141711392306978</v>
      </c>
      <c r="C52" s="5">
        <v>0.2991990686255987</v>
      </c>
      <c r="D52" s="3">
        <f t="shared" si="0"/>
        <v>2.8133702078562965</v>
      </c>
    </row>
    <row r="53" spans="1:4" x14ac:dyDescent="0.3">
      <c r="A53" s="1">
        <v>43921</v>
      </c>
      <c r="B53" s="3">
        <v>-2.5148382224644745</v>
      </c>
      <c r="C53" s="5">
        <v>0.14692195528703678</v>
      </c>
      <c r="D53" s="3">
        <f t="shared" si="0"/>
        <v>2.6617601777515114</v>
      </c>
    </row>
    <row r="54" spans="1:4" x14ac:dyDescent="0.3">
      <c r="A54" s="1">
        <v>43951</v>
      </c>
      <c r="B54" s="3">
        <v>-2.4123729508782117</v>
      </c>
      <c r="C54" s="5">
        <v>3.6396170111776226E-2</v>
      </c>
      <c r="D54" s="3">
        <f t="shared" si="0"/>
        <v>2.4487691209899878</v>
      </c>
    </row>
    <row r="55" spans="1:4" x14ac:dyDescent="0.3">
      <c r="A55" s="1">
        <v>43982</v>
      </c>
      <c r="B55" s="3">
        <v>-2.8594205393966372</v>
      </c>
      <c r="C55" s="5">
        <v>-4.5366001468471494E-2</v>
      </c>
      <c r="D55" s="3">
        <f t="shared" si="0"/>
        <v>2.8140545379281656</v>
      </c>
    </row>
    <row r="56" spans="1:4" x14ac:dyDescent="0.3">
      <c r="A56" s="1">
        <v>44012</v>
      </c>
      <c r="B56" s="3">
        <v>-2.7516368219337513</v>
      </c>
      <c r="C56" s="5">
        <v>-8.781267127434822E-2</v>
      </c>
      <c r="D56" s="3">
        <f t="shared" si="0"/>
        <v>2.6638241506594031</v>
      </c>
    </row>
    <row r="57" spans="1:4" x14ac:dyDescent="0.3">
      <c r="A57" s="1">
        <v>44043</v>
      </c>
      <c r="B57" s="3">
        <v>-2.9725442912756361</v>
      </c>
      <c r="C57" s="5">
        <v>-0.1329423424279883</v>
      </c>
      <c r="D57" s="3">
        <f t="shared" si="0"/>
        <v>2.8396019488476476</v>
      </c>
    </row>
    <row r="58" spans="1:4" x14ac:dyDescent="0.3">
      <c r="A58" s="1">
        <v>44074</v>
      </c>
      <c r="B58" s="3">
        <v>-3.1844785660314581</v>
      </c>
      <c r="C58" s="5">
        <v>-7.4019139975212117E-2</v>
      </c>
      <c r="D58" s="3">
        <f t="shared" si="0"/>
        <v>3.1104594260562459</v>
      </c>
    </row>
    <row r="59" spans="1:4" x14ac:dyDescent="0.3">
      <c r="A59" s="1">
        <v>44104</v>
      </c>
      <c r="B59" s="3">
        <v>-3.1299155713642075</v>
      </c>
      <c r="C59" s="5">
        <v>-8.2225964601079601E-2</v>
      </c>
      <c r="D59" s="3">
        <f t="shared" si="0"/>
        <v>3.0476896067631278</v>
      </c>
    </row>
    <row r="60" spans="1:4" x14ac:dyDescent="0.3">
      <c r="A60" s="1">
        <v>44135</v>
      </c>
      <c r="B60" s="3">
        <v>-3.1659676125475755</v>
      </c>
      <c r="C60" s="5">
        <v>-6.7326694904477333E-2</v>
      </c>
      <c r="D60" s="3">
        <f t="shared" si="0"/>
        <v>3.098640917643098</v>
      </c>
    </row>
    <row r="61" spans="1:4" x14ac:dyDescent="0.3">
      <c r="A61" s="1">
        <v>44165</v>
      </c>
      <c r="B61" s="3">
        <v>-3.1262595638740547</v>
      </c>
      <c r="C61" s="5">
        <v>-1.7661990467704808E-2</v>
      </c>
      <c r="D61" s="3">
        <f t="shared" si="0"/>
        <v>3.1085975734063496</v>
      </c>
    </row>
    <row r="62" spans="1:4" x14ac:dyDescent="0.3">
      <c r="A62" s="1">
        <v>44196</v>
      </c>
      <c r="B62" s="3">
        <v>-3.1130653874254341</v>
      </c>
      <c r="C62" s="5">
        <v>-0.12027731490904431</v>
      </c>
      <c r="D62" s="3">
        <f t="shared" si="0"/>
        <v>2.9927880725163898</v>
      </c>
    </row>
    <row r="63" spans="1:4" x14ac:dyDescent="0.3">
      <c r="A63" s="1">
        <v>44227</v>
      </c>
      <c r="B63" s="3">
        <v>-3.3024352775808379</v>
      </c>
      <c r="C63" s="5">
        <v>-7.5699089800565847E-2</v>
      </c>
      <c r="D63" s="3">
        <f t="shared" si="0"/>
        <v>3.226736187780272</v>
      </c>
    </row>
    <row r="64" spans="1:4" x14ac:dyDescent="0.3">
      <c r="A64" s="1">
        <v>44255</v>
      </c>
      <c r="B64" s="3">
        <v>-3.1725712686954375</v>
      </c>
      <c r="C64" s="5">
        <v>0.18449007259806927</v>
      </c>
      <c r="D64" s="3">
        <f t="shared" si="0"/>
        <v>3.3570613412935071</v>
      </c>
    </row>
    <row r="65" spans="1:4" x14ac:dyDescent="0.3">
      <c r="A65" s="1">
        <v>44286</v>
      </c>
      <c r="B65" s="3">
        <v>-3.4328125666696963</v>
      </c>
      <c r="C65" s="5">
        <v>0.16361237384309146</v>
      </c>
      <c r="D65" s="3">
        <f t="shared" si="0"/>
        <v>3.5964249405127875</v>
      </c>
    </row>
    <row r="66" spans="1:4" x14ac:dyDescent="0.3">
      <c r="A66" s="1">
        <v>44316</v>
      </c>
      <c r="B66" s="3">
        <v>-3.2584135856786496</v>
      </c>
      <c r="C66" s="5">
        <v>0.17016946461737881</v>
      </c>
      <c r="D66" s="3">
        <f t="shared" si="0"/>
        <v>3.4285830502960284</v>
      </c>
    </row>
    <row r="67" spans="1:4" x14ac:dyDescent="0.3">
      <c r="A67" s="1">
        <v>44347</v>
      </c>
      <c r="B67" s="3">
        <v>-3.5291947916968187</v>
      </c>
      <c r="C67" s="5">
        <v>0.14204165122355208</v>
      </c>
      <c r="D67" s="3">
        <f t="shared" si="0"/>
        <v>3.671236442920371</v>
      </c>
    </row>
    <row r="68" spans="1:4" x14ac:dyDescent="0.3">
      <c r="A68" s="1">
        <v>44377</v>
      </c>
      <c r="B68" s="3">
        <v>-3.1588782219729672</v>
      </c>
      <c r="C68" s="5">
        <v>0.16862271826096079</v>
      </c>
      <c r="D68" s="3">
        <f t="shared" ref="D68:D125" si="1">C68-B68 + B68/B68 - 1</f>
        <v>3.3275009402339286</v>
      </c>
    </row>
    <row r="69" spans="1:4" x14ac:dyDescent="0.3">
      <c r="A69" s="1">
        <v>44408</v>
      </c>
      <c r="B69" s="3">
        <v>-3.4003876557317501</v>
      </c>
      <c r="C69" s="5">
        <v>0.13863236104973276</v>
      </c>
      <c r="D69" s="3">
        <f t="shared" si="1"/>
        <v>3.5390200167814827</v>
      </c>
    </row>
    <row r="70" spans="1:4" x14ac:dyDescent="0.3">
      <c r="A70" s="1">
        <v>44439</v>
      </c>
      <c r="B70" s="3">
        <v>-3.4157170940724733</v>
      </c>
      <c r="C70" s="5">
        <v>0.21364808674767799</v>
      </c>
      <c r="D70" s="3">
        <f t="shared" si="1"/>
        <v>3.6293651808201517</v>
      </c>
    </row>
    <row r="71" spans="1:4" x14ac:dyDescent="0.3">
      <c r="A71" s="1">
        <v>44469</v>
      </c>
      <c r="B71" s="3">
        <v>-3.7383408678519312</v>
      </c>
      <c r="C71" s="5">
        <v>0.43604790900054163</v>
      </c>
      <c r="D71" s="3">
        <f t="shared" si="1"/>
        <v>4.1743887768524726</v>
      </c>
    </row>
    <row r="72" spans="1:4" x14ac:dyDescent="0.3">
      <c r="A72" s="1">
        <v>44500</v>
      </c>
      <c r="B72" s="3">
        <v>-3.764181104347283</v>
      </c>
      <c r="C72" s="5">
        <v>0.70551351156907571</v>
      </c>
      <c r="D72" s="3">
        <f t="shared" si="1"/>
        <v>4.4696946159163584</v>
      </c>
    </row>
    <row r="73" spans="1:4" x14ac:dyDescent="0.3">
      <c r="A73" s="1">
        <v>44530</v>
      </c>
      <c r="B73" s="3">
        <v>-4.301015761329718</v>
      </c>
      <c r="C73" s="5">
        <v>0.49835089752357492</v>
      </c>
      <c r="D73" s="3">
        <f t="shared" si="1"/>
        <v>4.7993666588532928</v>
      </c>
    </row>
    <row r="74" spans="1:4" x14ac:dyDescent="0.3">
      <c r="A74" s="1">
        <v>44561</v>
      </c>
      <c r="B74" s="3">
        <v>-3.5714658756693036</v>
      </c>
      <c r="C74" s="5">
        <v>0.6927472161357523</v>
      </c>
      <c r="D74" s="3">
        <f t="shared" si="1"/>
        <v>4.2642130918050558</v>
      </c>
    </row>
    <row r="75" spans="1:4" x14ac:dyDescent="0.3">
      <c r="A75" s="1">
        <v>44592</v>
      </c>
      <c r="B75" s="3">
        <v>-3.5812316350537543</v>
      </c>
      <c r="C75" s="5">
        <v>1.044024130037692</v>
      </c>
      <c r="D75" s="3">
        <f t="shared" si="1"/>
        <v>4.6252557650914463</v>
      </c>
    </row>
    <row r="76" spans="1:4" x14ac:dyDescent="0.3">
      <c r="A76" s="1">
        <v>44620</v>
      </c>
      <c r="B76" s="3">
        <v>-3.9635507776862986</v>
      </c>
      <c r="C76" s="5">
        <v>1.0648284497336467</v>
      </c>
      <c r="D76" s="3">
        <f t="shared" si="1"/>
        <v>5.0283792274199453</v>
      </c>
    </row>
    <row r="77" spans="1:4" x14ac:dyDescent="0.3">
      <c r="A77" s="1">
        <v>44651</v>
      </c>
      <c r="B77" s="3">
        <v>-3.9440146624930503</v>
      </c>
      <c r="C77" s="5">
        <v>1.4050408823863341</v>
      </c>
      <c r="D77" s="3">
        <f t="shared" si="1"/>
        <v>5.3490555448793842</v>
      </c>
    </row>
    <row r="78" spans="1:4" x14ac:dyDescent="0.3">
      <c r="A78" s="1">
        <v>44681</v>
      </c>
      <c r="B78" s="3">
        <v>-3.6812970966660354</v>
      </c>
      <c r="C78" s="5">
        <v>1.6459024697680176</v>
      </c>
      <c r="D78" s="3">
        <f t="shared" si="1"/>
        <v>5.3271995664340528</v>
      </c>
    </row>
    <row r="79" spans="1:4" x14ac:dyDescent="0.3">
      <c r="A79" s="1">
        <v>44712</v>
      </c>
      <c r="B79" s="3">
        <v>-3.4614412623543114</v>
      </c>
      <c r="C79" s="5">
        <v>1.640368711189969</v>
      </c>
      <c r="D79" s="3">
        <f t="shared" si="1"/>
        <v>5.1018099735442801</v>
      </c>
    </row>
    <row r="80" spans="1:4" x14ac:dyDescent="0.3">
      <c r="A80" s="1">
        <v>44742</v>
      </c>
      <c r="B80" s="3">
        <v>-1.8687627604967603</v>
      </c>
      <c r="C80" s="5">
        <v>1.9028610919449607</v>
      </c>
      <c r="D80" s="3">
        <f t="shared" si="1"/>
        <v>3.7716238524417207</v>
      </c>
    </row>
    <row r="81" spans="1:4" x14ac:dyDescent="0.3">
      <c r="A81" s="1">
        <v>44773</v>
      </c>
      <c r="B81" s="3">
        <v>-2.361797251177316</v>
      </c>
      <c r="C81" s="5">
        <v>1.6526295032294602</v>
      </c>
      <c r="D81" s="3">
        <f t="shared" si="1"/>
        <v>4.0144267544067764</v>
      </c>
    </row>
    <row r="82" spans="1:4" x14ac:dyDescent="0.3">
      <c r="A82" s="1">
        <v>44804</v>
      </c>
      <c r="B82" s="3">
        <v>-2.2257717537847244</v>
      </c>
      <c r="C82" s="5">
        <v>2.8658489480960103</v>
      </c>
      <c r="D82" s="3">
        <f t="shared" si="1"/>
        <v>5.0916207018807347</v>
      </c>
    </row>
    <row r="83" spans="1:4" x14ac:dyDescent="0.3">
      <c r="A83" s="1">
        <v>44834</v>
      </c>
      <c r="B83" s="3">
        <v>-3.5879868736560933E-3</v>
      </c>
      <c r="C83" s="5">
        <v>4.3812041855819208</v>
      </c>
      <c r="D83" s="3">
        <f t="shared" si="1"/>
        <v>4.384792172455577</v>
      </c>
    </row>
    <row r="84" spans="1:4" x14ac:dyDescent="0.3">
      <c r="A84" s="1">
        <v>44865</v>
      </c>
      <c r="B84" s="3">
        <v>-0.66453876488609354</v>
      </c>
      <c r="C84" s="5">
        <v>3.4533000014085045</v>
      </c>
      <c r="D84" s="3">
        <f t="shared" si="1"/>
        <v>4.1178387662945983</v>
      </c>
    </row>
    <row r="85" spans="1:4" x14ac:dyDescent="0.3">
      <c r="A85" s="1">
        <v>44895</v>
      </c>
      <c r="B85" s="3">
        <v>-0.70537703025116405</v>
      </c>
      <c r="C85" s="5">
        <v>3.2540394394210708</v>
      </c>
      <c r="D85" s="3">
        <f t="shared" si="1"/>
        <v>3.9594164696722345</v>
      </c>
    </row>
    <row r="86" spans="1:4" x14ac:dyDescent="0.3">
      <c r="A86" s="1">
        <v>44926</v>
      </c>
      <c r="B86" s="3">
        <v>0.30926389500151297</v>
      </c>
      <c r="C86" s="5">
        <v>3.5827824209392367</v>
      </c>
      <c r="D86" s="3">
        <f t="shared" si="1"/>
        <v>3.2735185259377237</v>
      </c>
    </row>
    <row r="87" spans="1:4" x14ac:dyDescent="0.3">
      <c r="A87" s="1">
        <v>44957</v>
      </c>
      <c r="B87" s="3">
        <v>0.61336315227048688</v>
      </c>
      <c r="C87" s="5">
        <v>3.2263211053979881</v>
      </c>
      <c r="D87" s="3">
        <f t="shared" si="1"/>
        <v>2.6129579531275011</v>
      </c>
    </row>
    <row r="88" spans="1:4" x14ac:dyDescent="0.3">
      <c r="A88" s="1">
        <v>44985</v>
      </c>
      <c r="B88" s="3">
        <v>0.68667964111871305</v>
      </c>
      <c r="C88" s="5">
        <v>3.7663987205673535</v>
      </c>
      <c r="D88" s="3">
        <f t="shared" si="1"/>
        <v>3.0797190794486404</v>
      </c>
    </row>
    <row r="89" spans="1:4" x14ac:dyDescent="0.3">
      <c r="A89" s="1">
        <v>45016</v>
      </c>
      <c r="B89" s="3">
        <v>0.17793829914133663</v>
      </c>
      <c r="C89" s="5">
        <v>3.5619268093928143</v>
      </c>
      <c r="D89" s="3">
        <f t="shared" si="1"/>
        <v>3.3839885102514771</v>
      </c>
    </row>
    <row r="90" spans="1:4" x14ac:dyDescent="0.3">
      <c r="A90" s="1">
        <v>45046</v>
      </c>
      <c r="B90" s="3">
        <v>0.65626393524437487</v>
      </c>
      <c r="C90" s="5">
        <v>3.7909642316495744</v>
      </c>
      <c r="D90" s="3">
        <f t="shared" si="1"/>
        <v>3.1347002964051995</v>
      </c>
    </row>
    <row r="91" spans="1:4" x14ac:dyDescent="0.3">
      <c r="A91" s="1">
        <v>45077</v>
      </c>
      <c r="B91" s="3">
        <v>0.99720788445713948</v>
      </c>
      <c r="C91" s="5">
        <v>4.3204171545271732</v>
      </c>
      <c r="D91" s="3">
        <f t="shared" si="1"/>
        <v>3.3232092700700342</v>
      </c>
    </row>
    <row r="92" spans="1:4" x14ac:dyDescent="0.3">
      <c r="A92" s="1">
        <v>45107</v>
      </c>
      <c r="B92" s="3">
        <v>1.6000806198775788</v>
      </c>
      <c r="C92" s="5">
        <v>5.0753163581599425</v>
      </c>
      <c r="D92" s="3">
        <f t="shared" si="1"/>
        <v>3.4752357382823638</v>
      </c>
    </row>
    <row r="93" spans="1:4" x14ac:dyDescent="0.3">
      <c r="A93" s="1">
        <v>45138</v>
      </c>
      <c r="B93" s="3">
        <v>1.4860098066692802</v>
      </c>
      <c r="C93" s="5">
        <v>4.7027153936623352</v>
      </c>
      <c r="D93" s="3">
        <f t="shared" si="1"/>
        <v>3.2167055869930552</v>
      </c>
    </row>
    <row r="94" spans="1:4" x14ac:dyDescent="0.3">
      <c r="A94" s="1">
        <v>45169</v>
      </c>
      <c r="B94" s="3">
        <v>1.3365883255473447</v>
      </c>
      <c r="C94" s="5">
        <v>4.6276803757627709</v>
      </c>
      <c r="D94" s="3">
        <f t="shared" si="1"/>
        <v>3.2910920502154264</v>
      </c>
    </row>
    <row r="95" spans="1:4" x14ac:dyDescent="0.3">
      <c r="A95" s="4">
        <v>45199</v>
      </c>
      <c r="B95" s="5">
        <v>0.754527090245661</v>
      </c>
      <c r="C95" s="5">
        <v>4.4205673602906517</v>
      </c>
      <c r="D95" s="3">
        <f t="shared" si="1"/>
        <v>3.6660402700449906</v>
      </c>
    </row>
    <row r="96" spans="1:4" x14ac:dyDescent="0.3">
      <c r="A96" s="1">
        <v>45230</v>
      </c>
      <c r="B96" s="3">
        <v>0.8214594700474579</v>
      </c>
      <c r="C96" s="5">
        <v>4.3913329372435896</v>
      </c>
      <c r="D96" s="3">
        <f t="shared" si="1"/>
        <v>3.5698734671961319</v>
      </c>
    </row>
    <row r="97" spans="1:4" x14ac:dyDescent="0.3">
      <c r="A97" s="1">
        <v>45260</v>
      </c>
      <c r="B97" s="3">
        <v>0.70396047347584823</v>
      </c>
      <c r="C97" s="5">
        <v>4.1727316392694194</v>
      </c>
      <c r="D97" s="3">
        <f t="shared" si="1"/>
        <v>3.4687711657935711</v>
      </c>
    </row>
    <row r="98" spans="1:4" x14ac:dyDescent="0.3">
      <c r="A98" s="1">
        <v>45291</v>
      </c>
      <c r="B98" s="3">
        <v>1.6599648811775034E-2</v>
      </c>
      <c r="C98" s="5">
        <v>3.4641170702827258</v>
      </c>
      <c r="D98" s="3">
        <f t="shared" si="1"/>
        <v>3.4475174214709501</v>
      </c>
    </row>
    <row r="99" spans="1:4" x14ac:dyDescent="0.3">
      <c r="A99" s="1">
        <v>45322</v>
      </c>
      <c r="B99" s="3">
        <v>0.14368839320411925</v>
      </c>
      <c r="C99" s="5">
        <v>3.7590795515705047</v>
      </c>
      <c r="D99" s="3">
        <f t="shared" si="1"/>
        <v>3.6153911583663856</v>
      </c>
    </row>
    <row r="100" spans="1:4" x14ac:dyDescent="0.3">
      <c r="A100" s="1">
        <v>45351</v>
      </c>
      <c r="B100" s="3">
        <v>0.49352400123421963</v>
      </c>
      <c r="C100" s="5">
        <v>4.1392542683334685</v>
      </c>
      <c r="D100" s="3">
        <f t="shared" si="1"/>
        <v>3.6457302670992489</v>
      </c>
    </row>
    <row r="101" spans="1:4" x14ac:dyDescent="0.3">
      <c r="A101" s="1">
        <v>45382</v>
      </c>
      <c r="B101" s="3">
        <v>9.0293730778317465E-3</v>
      </c>
      <c r="C101" s="5">
        <v>3.945135790553302</v>
      </c>
      <c r="D101" s="3">
        <f t="shared" si="1"/>
        <v>3.9361064174754699</v>
      </c>
    </row>
    <row r="102" spans="1:4" x14ac:dyDescent="0.3">
      <c r="A102" s="1">
        <v>45412</v>
      </c>
      <c r="B102" s="3">
        <v>0.16212089383761727</v>
      </c>
      <c r="C102" s="5">
        <v>4.3638769983842067</v>
      </c>
      <c r="D102" s="3">
        <f t="shared" si="1"/>
        <v>4.2017561045465897</v>
      </c>
    </row>
    <row r="103" spans="1:4" x14ac:dyDescent="0.3">
      <c r="A103" s="1">
        <v>45443</v>
      </c>
      <c r="B103" s="3">
        <v>0.12041660434296636</v>
      </c>
      <c r="C103" s="5">
        <v>4.3066821611538479</v>
      </c>
      <c r="D103" s="3">
        <f t="shared" si="1"/>
        <v>4.1862655568108815</v>
      </c>
    </row>
    <row r="104" spans="1:4" x14ac:dyDescent="0.3">
      <c r="A104" s="6">
        <v>45471</v>
      </c>
      <c r="B104" s="7">
        <v>0.27133292959537142</v>
      </c>
      <c r="C104" s="5">
        <v>4.1466651041905243</v>
      </c>
      <c r="D104" s="3">
        <f t="shared" si="1"/>
        <v>3.8753321745951528</v>
      </c>
    </row>
    <row r="105" spans="1:4" x14ac:dyDescent="0.3">
      <c r="A105" s="6">
        <v>45504</v>
      </c>
      <c r="B105" s="7">
        <v>6.9512510946844838E-2</v>
      </c>
      <c r="C105" s="5">
        <v>3.8528312942485843</v>
      </c>
      <c r="D105" s="3">
        <f t="shared" si="1"/>
        <v>3.7833187833017394</v>
      </c>
    </row>
    <row r="106" spans="1:4" x14ac:dyDescent="0.3">
      <c r="A106" s="6">
        <v>45534</v>
      </c>
      <c r="B106" s="7">
        <v>0.19482800281050461</v>
      </c>
      <c r="C106" s="5">
        <v>3.8324099465112251</v>
      </c>
      <c r="D106" s="3">
        <f t="shared" si="1"/>
        <v>3.6375819437007202</v>
      </c>
    </row>
    <row r="107" spans="1:4" x14ac:dyDescent="0.3">
      <c r="A107" s="6">
        <v>45565</v>
      </c>
      <c r="B107" s="7">
        <v>0.10853713129926362</v>
      </c>
      <c r="C107" s="5">
        <v>3.7397840376921043</v>
      </c>
      <c r="D107" s="3">
        <f t="shared" si="1"/>
        <v>3.6312469063928408</v>
      </c>
    </row>
    <row r="108" spans="1:4" x14ac:dyDescent="0.3">
      <c r="A108" s="6">
        <v>45596</v>
      </c>
      <c r="B108" s="7">
        <v>0.30457993120696614</v>
      </c>
      <c r="C108" s="5">
        <v>4.1821531328767501</v>
      </c>
      <c r="D108" s="3">
        <f t="shared" si="1"/>
        <v>3.8775732016697839</v>
      </c>
    </row>
    <row r="109" spans="1:4" x14ac:dyDescent="0.3">
      <c r="A109" s="6">
        <v>45625</v>
      </c>
      <c r="B109" s="7">
        <v>4.8616084407620032E-2</v>
      </c>
      <c r="C109" s="5">
        <v>4.0021836440649752</v>
      </c>
      <c r="D109" s="3">
        <f t="shared" si="1"/>
        <v>3.9535675596573547</v>
      </c>
    </row>
    <row r="110" spans="1:4" x14ac:dyDescent="0.3">
      <c r="A110" s="6">
        <v>45657</v>
      </c>
      <c r="B110" s="7">
        <v>0.30385073435316895</v>
      </c>
      <c r="C110" s="5">
        <v>4.1785669978752047</v>
      </c>
      <c r="D110" s="3">
        <f t="shared" si="1"/>
        <v>3.8747162635220356</v>
      </c>
    </row>
    <row r="111" spans="1:4" x14ac:dyDescent="0.3">
      <c r="A111" s="6">
        <v>45688</v>
      </c>
      <c r="B111" s="7">
        <v>-9.0308802121841933E-2</v>
      </c>
      <c r="C111" s="3">
        <v>4.0293543502715741</v>
      </c>
      <c r="D111" s="3">
        <f t="shared" si="1"/>
        <v>4.1196631523934162</v>
      </c>
    </row>
    <row r="112" spans="1:4" x14ac:dyDescent="0.3">
      <c r="A112" s="6">
        <v>45716</v>
      </c>
      <c r="B112" s="7">
        <v>0.1010842112609568</v>
      </c>
      <c r="C112" s="3">
        <v>3.9713727722026313</v>
      </c>
      <c r="D112" s="3">
        <f t="shared" si="1"/>
        <v>3.8702885609416739</v>
      </c>
    </row>
    <row r="113" spans="1:4" x14ac:dyDescent="0.3">
      <c r="A113" s="6">
        <v>45747</v>
      </c>
      <c r="B113" s="7">
        <v>3.8398559539147906E-3</v>
      </c>
      <c r="C113" s="3">
        <v>4.0310140420595948</v>
      </c>
      <c r="D113" s="3">
        <f t="shared" si="1"/>
        <v>4.0271741861056798</v>
      </c>
    </row>
    <row r="114" spans="1:4" x14ac:dyDescent="0.3">
      <c r="A114" s="6">
        <v>45777</v>
      </c>
      <c r="B114" s="7">
        <v>4.134339597275595E-2</v>
      </c>
      <c r="C114" s="3">
        <v>3.6487729674038132</v>
      </c>
      <c r="D114" s="3">
        <f t="shared" si="1"/>
        <v>3.6074295714310569</v>
      </c>
    </row>
    <row r="115" spans="1:4" x14ac:dyDescent="0.3">
      <c r="A115" s="6">
        <v>45807</v>
      </c>
      <c r="B115" s="7">
        <v>0.30185954559333789</v>
      </c>
      <c r="C115" s="3">
        <v>3.908245079341095</v>
      </c>
      <c r="D115" s="3">
        <f t="shared" si="1"/>
        <v>3.6063855337477566</v>
      </c>
    </row>
    <row r="116" spans="1:4" x14ac:dyDescent="0.3">
      <c r="A116" s="6">
        <v>45838</v>
      </c>
      <c r="B116" s="7">
        <v>0.46876209629525462</v>
      </c>
      <c r="C116" s="3">
        <v>3.703685477338281</v>
      </c>
      <c r="D116" s="3">
        <f t="shared" si="1"/>
        <v>3.2349233810430267</v>
      </c>
    </row>
    <row r="117" spans="1:4" x14ac:dyDescent="0.3">
      <c r="A117" s="6">
        <v>45869</v>
      </c>
      <c r="B117" s="7">
        <v>0.3887061090212422</v>
      </c>
      <c r="C117" s="3">
        <v>3.7303394621491823</v>
      </c>
      <c r="D117" s="3">
        <f t="shared" si="1"/>
        <v>3.3416333531279401</v>
      </c>
    </row>
    <row r="118" spans="1:4" x14ac:dyDescent="0.3">
      <c r="A118" s="6">
        <v>45898</v>
      </c>
      <c r="B118" s="7">
        <v>0.58509647059522407</v>
      </c>
      <c r="C118" s="3">
        <v>3.8280719503125304</v>
      </c>
      <c r="D118" s="3">
        <f t="shared" si="1"/>
        <v>3.2429754797173063</v>
      </c>
    </row>
    <row r="119" spans="1:4" x14ac:dyDescent="0.3">
      <c r="A119" s="6">
        <v>45930</v>
      </c>
      <c r="B119" s="7">
        <v>0.62536678580104776</v>
      </c>
      <c r="C119" s="3">
        <v>3.8855875244579692</v>
      </c>
      <c r="D119" s="3">
        <f t="shared" si="1"/>
        <v>3.2602207386569209</v>
      </c>
    </row>
    <row r="120" spans="1:4" x14ac:dyDescent="0.3">
      <c r="A120" s="6">
        <v>45961</v>
      </c>
      <c r="B120" s="7">
        <v>0.65235085239808632</v>
      </c>
      <c r="C120" s="3">
        <v>3.6697771474085084</v>
      </c>
      <c r="D120" s="3">
        <f t="shared" si="1"/>
        <v>3.0174262950104218</v>
      </c>
    </row>
    <row r="121" spans="1:4" x14ac:dyDescent="0.3">
      <c r="A121" s="6">
        <v>45989</v>
      </c>
      <c r="B121" s="7">
        <v>0.55768231584664918</v>
      </c>
      <c r="C121" s="3">
        <v>3.6698420761006818</v>
      </c>
      <c r="D121" s="3">
        <f t="shared" si="1"/>
        <v>3.1121597602540323</v>
      </c>
    </row>
    <row r="122" spans="1:4" x14ac:dyDescent="0.3">
      <c r="A122" s="6">
        <v>46022</v>
      </c>
      <c r="B122" s="7">
        <v>0.71193760249889237</v>
      </c>
      <c r="C122" s="3">
        <v>3.7124348930697288</v>
      </c>
      <c r="D122" s="3">
        <f t="shared" si="1"/>
        <v>3.000497290570836</v>
      </c>
    </row>
    <row r="123" spans="1:4" x14ac:dyDescent="0.3">
      <c r="A123" s="6">
        <v>46052</v>
      </c>
      <c r="B123" s="7">
        <v>0.32658240103653036</v>
      </c>
      <c r="C123" s="3">
        <v>3.7217485282318399</v>
      </c>
      <c r="D123" s="3">
        <f t="shared" si="1"/>
        <v>3.39516612719531</v>
      </c>
    </row>
    <row r="124" spans="1:4" x14ac:dyDescent="0.3">
      <c r="A124" s="6">
        <v>46080</v>
      </c>
      <c r="B124" s="7">
        <v>0.1995339339714817</v>
      </c>
      <c r="C124" s="3">
        <v>3.492087474875428</v>
      </c>
      <c r="D124" s="3">
        <f t="shared" si="1"/>
        <v>3.2925535409039464</v>
      </c>
    </row>
    <row r="125" spans="1:4" x14ac:dyDescent="0.3">
      <c r="A125" s="6">
        <v>46112</v>
      </c>
      <c r="B125" s="7">
        <v>-0.20587265745494232</v>
      </c>
      <c r="C125" s="3">
        <v>4.2853744965950504</v>
      </c>
      <c r="D125" s="3">
        <f t="shared" si="1"/>
        <v>4.4912471540499928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4852-5822-4E5E-9B5F-828AF5ECEB5D}">
  <dimension ref="A1:B123"/>
  <sheetViews>
    <sheetView workbookViewId="0">
      <selection activeCell="B2" sqref="B2"/>
    </sheetView>
  </sheetViews>
  <sheetFormatPr baseColWidth="10" defaultRowHeight="13.2" x14ac:dyDescent="0.25"/>
  <cols>
    <col min="1" max="256" width="8.88671875" style="11" customWidth="1"/>
    <col min="257" max="16384" width="11.5546875" style="11"/>
  </cols>
  <sheetData>
    <row r="1" spans="1:2" x14ac:dyDescent="0.25">
      <c r="A1" s="11" t="s">
        <v>129</v>
      </c>
      <c r="B1" s="11" t="s">
        <v>130</v>
      </c>
    </row>
    <row r="2" spans="1:2" x14ac:dyDescent="0.25">
      <c r="A2" s="11" t="s">
        <v>127</v>
      </c>
      <c r="B2" s="12">
        <v>0.3</v>
      </c>
    </row>
    <row r="3" spans="1:2" x14ac:dyDescent="0.25">
      <c r="A3" s="11" t="s">
        <v>126</v>
      </c>
      <c r="B3" s="12">
        <v>0.3</v>
      </c>
    </row>
    <row r="4" spans="1:2" x14ac:dyDescent="0.25">
      <c r="A4" s="11" t="s">
        <v>125</v>
      </c>
      <c r="B4" s="12">
        <v>0.5</v>
      </c>
    </row>
    <row r="5" spans="1:2" x14ac:dyDescent="0.25">
      <c r="A5" s="11" t="s">
        <v>124</v>
      </c>
      <c r="B5" s="12">
        <v>0.3</v>
      </c>
    </row>
    <row r="6" spans="1:2" x14ac:dyDescent="0.25">
      <c r="A6" s="11" t="s">
        <v>123</v>
      </c>
      <c r="B6" s="12">
        <v>0.3</v>
      </c>
    </row>
    <row r="7" spans="1:2" x14ac:dyDescent="0.25">
      <c r="A7" s="11" t="s">
        <v>122</v>
      </c>
      <c r="B7" s="12">
        <v>0.5</v>
      </c>
    </row>
    <row r="8" spans="1:2" x14ac:dyDescent="0.25">
      <c r="A8" s="11" t="s">
        <v>121</v>
      </c>
      <c r="B8" s="12">
        <v>0.6</v>
      </c>
    </row>
    <row r="9" spans="1:2" x14ac:dyDescent="0.25">
      <c r="A9" s="11" t="s">
        <v>120</v>
      </c>
      <c r="B9" s="12">
        <v>0.6</v>
      </c>
    </row>
    <row r="10" spans="1:2" x14ac:dyDescent="0.25">
      <c r="A10" s="11" t="s">
        <v>119</v>
      </c>
      <c r="B10" s="12">
        <v>1</v>
      </c>
    </row>
    <row r="11" spans="1:2" x14ac:dyDescent="0.25">
      <c r="A11" s="11" t="s">
        <v>118</v>
      </c>
      <c r="B11" s="12">
        <v>0.9</v>
      </c>
    </row>
    <row r="12" spans="1:2" x14ac:dyDescent="0.25">
      <c r="A12" s="11" t="s">
        <v>117</v>
      </c>
      <c r="B12" s="12">
        <v>1.2</v>
      </c>
    </row>
    <row r="13" spans="1:2" x14ac:dyDescent="0.25">
      <c r="A13" s="11" t="s">
        <v>116</v>
      </c>
      <c r="B13" s="12">
        <v>1.6</v>
      </c>
    </row>
    <row r="14" spans="1:2" x14ac:dyDescent="0.25">
      <c r="A14" s="11" t="s">
        <v>115</v>
      </c>
      <c r="B14" s="12">
        <v>1.8</v>
      </c>
    </row>
    <row r="15" spans="1:2" x14ac:dyDescent="0.25">
      <c r="A15" s="11" t="s">
        <v>114</v>
      </c>
      <c r="B15" s="12">
        <v>2.2999999999999998</v>
      </c>
    </row>
    <row r="16" spans="1:2" x14ac:dyDescent="0.25">
      <c r="A16" s="11" t="s">
        <v>113</v>
      </c>
      <c r="B16" s="12">
        <v>2.2999999999999998</v>
      </c>
    </row>
    <row r="17" spans="1:2" x14ac:dyDescent="0.25">
      <c r="A17" s="11" t="s">
        <v>112</v>
      </c>
      <c r="B17" s="12">
        <v>2.7</v>
      </c>
    </row>
    <row r="18" spans="1:2" x14ac:dyDescent="0.25">
      <c r="A18" s="11" t="s">
        <v>111</v>
      </c>
      <c r="B18" s="12">
        <v>2.9</v>
      </c>
    </row>
    <row r="19" spans="1:2" x14ac:dyDescent="0.25">
      <c r="A19" s="11" t="s">
        <v>110</v>
      </c>
      <c r="B19" s="12">
        <v>2.6</v>
      </c>
    </row>
    <row r="20" spans="1:2" x14ac:dyDescent="0.25">
      <c r="A20" s="11" t="s">
        <v>109</v>
      </c>
      <c r="B20" s="12">
        <v>2.6</v>
      </c>
    </row>
    <row r="21" spans="1:2" x14ac:dyDescent="0.25">
      <c r="A21" s="11" t="s">
        <v>108</v>
      </c>
      <c r="B21" s="12">
        <v>2.9</v>
      </c>
    </row>
    <row r="22" spans="1:2" x14ac:dyDescent="0.25">
      <c r="A22" s="11" t="s">
        <v>107</v>
      </c>
      <c r="B22" s="12">
        <v>3</v>
      </c>
    </row>
    <row r="23" spans="1:2" x14ac:dyDescent="0.25">
      <c r="A23" s="11" t="s">
        <v>106</v>
      </c>
      <c r="B23" s="12">
        <v>3</v>
      </c>
    </row>
    <row r="24" spans="1:2" x14ac:dyDescent="0.25">
      <c r="A24" s="11" t="s">
        <v>105</v>
      </c>
      <c r="B24" s="12">
        <v>3.1</v>
      </c>
    </row>
    <row r="25" spans="1:2" x14ac:dyDescent="0.25">
      <c r="A25" s="11" t="s">
        <v>104</v>
      </c>
      <c r="B25" s="12">
        <v>3</v>
      </c>
    </row>
    <row r="26" spans="1:2" x14ac:dyDescent="0.25">
      <c r="A26" s="11" t="s">
        <v>103</v>
      </c>
      <c r="B26" s="12">
        <v>3</v>
      </c>
    </row>
    <row r="27" spans="1:2" x14ac:dyDescent="0.25">
      <c r="A27" s="11" t="s">
        <v>102</v>
      </c>
      <c r="B27" s="12">
        <v>2.7</v>
      </c>
    </row>
    <row r="28" spans="1:2" x14ac:dyDescent="0.25">
      <c r="A28" s="11" t="s">
        <v>101</v>
      </c>
      <c r="B28" s="12">
        <v>2.5</v>
      </c>
    </row>
    <row r="29" spans="1:2" x14ac:dyDescent="0.25">
      <c r="A29" s="11" t="s">
        <v>100</v>
      </c>
      <c r="B29" s="12">
        <v>2.4</v>
      </c>
    </row>
    <row r="30" spans="1:2" x14ac:dyDescent="0.25">
      <c r="A30" s="11" t="s">
        <v>99</v>
      </c>
      <c r="B30" s="12">
        <v>2.4</v>
      </c>
    </row>
    <row r="31" spans="1:2" x14ac:dyDescent="0.25">
      <c r="A31" s="11" t="s">
        <v>98</v>
      </c>
      <c r="B31" s="12">
        <v>2.4</v>
      </c>
    </row>
    <row r="32" spans="1:2" x14ac:dyDescent="0.25">
      <c r="A32" s="11" t="s">
        <v>97</v>
      </c>
      <c r="B32" s="12">
        <v>2.5</v>
      </c>
    </row>
    <row r="33" spans="1:2" x14ac:dyDescent="0.25">
      <c r="A33" s="11" t="s">
        <v>96</v>
      </c>
      <c r="B33" s="12">
        <v>2.7</v>
      </c>
    </row>
    <row r="34" spans="1:2" x14ac:dyDescent="0.25">
      <c r="A34" s="11" t="s">
        <v>95</v>
      </c>
      <c r="B34" s="12">
        <v>2.4</v>
      </c>
    </row>
    <row r="35" spans="1:2" x14ac:dyDescent="0.25">
      <c r="A35" s="11" t="s">
        <v>94</v>
      </c>
      <c r="B35" s="12">
        <v>2.4</v>
      </c>
    </row>
    <row r="36" spans="1:2" x14ac:dyDescent="0.25">
      <c r="A36" s="11" t="s">
        <v>93</v>
      </c>
      <c r="B36" s="12">
        <v>2.2999999999999998</v>
      </c>
    </row>
    <row r="37" spans="1:2" x14ac:dyDescent="0.25">
      <c r="A37" s="11" t="s">
        <v>92</v>
      </c>
      <c r="B37" s="12">
        <v>2.1</v>
      </c>
    </row>
    <row r="38" spans="1:2" x14ac:dyDescent="0.25">
      <c r="A38" s="11" t="s">
        <v>91</v>
      </c>
      <c r="B38" s="12">
        <v>1.8</v>
      </c>
    </row>
    <row r="39" spans="1:2" x14ac:dyDescent="0.25">
      <c r="A39" s="11" t="s">
        <v>90</v>
      </c>
      <c r="B39" s="12">
        <v>1.9</v>
      </c>
    </row>
    <row r="40" spans="1:2" x14ac:dyDescent="0.25">
      <c r="A40" s="11" t="s">
        <v>89</v>
      </c>
      <c r="B40" s="12">
        <v>1.9</v>
      </c>
    </row>
    <row r="41" spans="1:2" x14ac:dyDescent="0.25">
      <c r="A41" s="11" t="s">
        <v>88</v>
      </c>
      <c r="B41" s="12">
        <v>2.1</v>
      </c>
    </row>
    <row r="42" spans="1:2" x14ac:dyDescent="0.25">
      <c r="A42" s="11" t="s">
        <v>87</v>
      </c>
      <c r="B42" s="12">
        <v>2</v>
      </c>
    </row>
    <row r="43" spans="1:2" x14ac:dyDescent="0.25">
      <c r="A43" s="11" t="s">
        <v>86</v>
      </c>
      <c r="B43" s="12">
        <v>2</v>
      </c>
    </row>
    <row r="44" spans="1:2" x14ac:dyDescent="0.25">
      <c r="A44" s="11" t="s">
        <v>85</v>
      </c>
      <c r="B44" s="12">
        <v>2.1</v>
      </c>
    </row>
    <row r="45" spans="1:2" x14ac:dyDescent="0.25">
      <c r="A45" s="11" t="s">
        <v>84</v>
      </c>
      <c r="B45" s="12">
        <v>1.7</v>
      </c>
    </row>
    <row r="46" spans="1:2" x14ac:dyDescent="0.25">
      <c r="A46" s="11" t="s">
        <v>83</v>
      </c>
      <c r="B46" s="12">
        <v>1.7</v>
      </c>
    </row>
    <row r="47" spans="1:2" x14ac:dyDescent="0.25">
      <c r="A47" s="11" t="s">
        <v>82</v>
      </c>
      <c r="B47" s="12">
        <v>1.5</v>
      </c>
    </row>
    <row r="48" spans="1:2" x14ac:dyDescent="0.25">
      <c r="A48" s="11" t="s">
        <v>81</v>
      </c>
      <c r="B48" s="12">
        <v>1.5</v>
      </c>
    </row>
    <row r="49" spans="1:2" x14ac:dyDescent="0.25">
      <c r="A49" s="11" t="s">
        <v>80</v>
      </c>
      <c r="B49" s="12">
        <v>1.3</v>
      </c>
    </row>
    <row r="50" spans="1:2" x14ac:dyDescent="0.25">
      <c r="A50" s="11" t="s">
        <v>79</v>
      </c>
      <c r="B50" s="12">
        <v>1.8</v>
      </c>
    </row>
    <row r="51" spans="1:2" x14ac:dyDescent="0.25">
      <c r="A51" s="11" t="s">
        <v>78</v>
      </c>
      <c r="B51" s="12">
        <v>1.7</v>
      </c>
    </row>
    <row r="52" spans="1:2" x14ac:dyDescent="0.25">
      <c r="A52" s="11" t="s">
        <v>77</v>
      </c>
      <c r="B52" s="12">
        <v>1.5</v>
      </c>
    </row>
    <row r="53" spans="1:2" x14ac:dyDescent="0.25">
      <c r="A53" s="11" t="s">
        <v>76</v>
      </c>
      <c r="B53" s="12">
        <v>0.8</v>
      </c>
    </row>
    <row r="54" spans="1:2" x14ac:dyDescent="0.25">
      <c r="A54" s="11" t="s">
        <v>75</v>
      </c>
      <c r="B54" s="12">
        <v>0.5</v>
      </c>
    </row>
    <row r="55" spans="1:2" x14ac:dyDescent="0.25">
      <c r="A55" s="11" t="s">
        <v>74</v>
      </c>
      <c r="B55" s="12">
        <v>0.6</v>
      </c>
    </row>
    <row r="56" spans="1:2" x14ac:dyDescent="0.25">
      <c r="A56" s="11" t="s">
        <v>73</v>
      </c>
      <c r="B56" s="12">
        <v>1</v>
      </c>
    </row>
    <row r="57" spans="1:2" x14ac:dyDescent="0.25">
      <c r="A57" s="11" t="s">
        <v>72</v>
      </c>
      <c r="B57" s="12">
        <v>0.2</v>
      </c>
    </row>
    <row r="58" spans="1:2" x14ac:dyDescent="0.25">
      <c r="A58" s="11" t="s">
        <v>71</v>
      </c>
      <c r="B58" s="12">
        <v>0.5</v>
      </c>
    </row>
    <row r="59" spans="1:2" x14ac:dyDescent="0.25">
      <c r="A59" s="11" t="s">
        <v>70</v>
      </c>
      <c r="B59" s="12">
        <v>0.7</v>
      </c>
    </row>
    <row r="60" spans="1:2" x14ac:dyDescent="0.25">
      <c r="A60" s="11" t="s">
        <v>69</v>
      </c>
      <c r="B60" s="12">
        <v>0.3</v>
      </c>
    </row>
    <row r="61" spans="1:2" x14ac:dyDescent="0.25">
      <c r="A61" s="11" t="s">
        <v>68</v>
      </c>
      <c r="B61" s="12">
        <v>0.6</v>
      </c>
    </row>
    <row r="62" spans="1:2" x14ac:dyDescent="0.25">
      <c r="A62" s="11" t="s">
        <v>67</v>
      </c>
      <c r="B62" s="12">
        <v>0.7</v>
      </c>
    </row>
    <row r="63" spans="1:2" x14ac:dyDescent="0.25">
      <c r="A63" s="11" t="s">
        <v>66</v>
      </c>
      <c r="B63" s="12">
        <v>0.4</v>
      </c>
    </row>
    <row r="64" spans="1:2" x14ac:dyDescent="0.25">
      <c r="A64" s="11" t="s">
        <v>65</v>
      </c>
      <c r="B64" s="12">
        <v>0.7</v>
      </c>
    </row>
    <row r="65" spans="1:2" x14ac:dyDescent="0.25">
      <c r="A65" s="11" t="s">
        <v>64</v>
      </c>
      <c r="B65" s="12">
        <v>1.5</v>
      </c>
    </row>
    <row r="66" spans="1:2" x14ac:dyDescent="0.25">
      <c r="A66" s="11" t="s">
        <v>63</v>
      </c>
      <c r="B66" s="12">
        <v>2.1</v>
      </c>
    </row>
    <row r="67" spans="1:2" x14ac:dyDescent="0.25">
      <c r="A67" s="11" t="s">
        <v>62</v>
      </c>
      <c r="B67" s="12">
        <v>2.5</v>
      </c>
    </row>
    <row r="68" spans="1:2" x14ac:dyDescent="0.25">
      <c r="A68" s="11" t="s">
        <v>61</v>
      </c>
      <c r="B68" s="12">
        <v>2</v>
      </c>
    </row>
    <row r="69" spans="1:2" x14ac:dyDescent="0.25">
      <c r="A69" s="11" t="s">
        <v>60</v>
      </c>
      <c r="B69" s="12">
        <v>3.2</v>
      </c>
    </row>
    <row r="70" spans="1:2" x14ac:dyDescent="0.25">
      <c r="A70" s="11" t="s">
        <v>59</v>
      </c>
      <c r="B70" s="12">
        <v>3.1</v>
      </c>
    </row>
    <row r="71" spans="1:2" x14ac:dyDescent="0.25">
      <c r="A71" s="11" t="s">
        <v>58</v>
      </c>
      <c r="B71" s="12">
        <v>4.2</v>
      </c>
    </row>
    <row r="72" spans="1:2" x14ac:dyDescent="0.25">
      <c r="A72" s="11" t="s">
        <v>57</v>
      </c>
      <c r="B72" s="12">
        <v>5.0999999999999996</v>
      </c>
    </row>
    <row r="73" spans="1:2" x14ac:dyDescent="0.25">
      <c r="A73" s="11" t="s">
        <v>56</v>
      </c>
      <c r="B73" s="12">
        <v>5.4</v>
      </c>
    </row>
    <row r="74" spans="1:2" x14ac:dyDescent="0.25">
      <c r="A74" s="11" t="s">
        <v>55</v>
      </c>
      <c r="B74" s="12">
        <v>5.5</v>
      </c>
    </row>
    <row r="75" spans="1:2" x14ac:dyDescent="0.25">
      <c r="A75" s="11" t="s">
        <v>54</v>
      </c>
      <c r="B75" s="12">
        <v>6.2</v>
      </c>
    </row>
    <row r="76" spans="1:2" x14ac:dyDescent="0.25">
      <c r="A76" s="11" t="s">
        <v>53</v>
      </c>
      <c r="B76" s="12">
        <v>7</v>
      </c>
    </row>
    <row r="77" spans="1:2" x14ac:dyDescent="0.25">
      <c r="A77" s="11" t="s">
        <v>52</v>
      </c>
      <c r="B77" s="12">
        <v>9</v>
      </c>
    </row>
    <row r="78" spans="1:2" x14ac:dyDescent="0.25">
      <c r="A78" s="11" t="s">
        <v>51</v>
      </c>
      <c r="B78" s="12">
        <v>9.1</v>
      </c>
    </row>
    <row r="79" spans="1:2" x14ac:dyDescent="0.25">
      <c r="A79" s="11" t="s">
        <v>50</v>
      </c>
      <c r="B79" s="12">
        <v>9.4</v>
      </c>
    </row>
    <row r="80" spans="1:2" x14ac:dyDescent="0.25">
      <c r="A80" s="11" t="s">
        <v>49</v>
      </c>
      <c r="B80" s="12">
        <v>10.1</v>
      </c>
    </row>
    <row r="81" spans="1:2" x14ac:dyDescent="0.25">
      <c r="A81" s="11" t="s">
        <v>48</v>
      </c>
      <c r="B81" s="12">
        <v>9.9</v>
      </c>
    </row>
    <row r="82" spans="1:2" x14ac:dyDescent="0.25">
      <c r="A82" s="11" t="s">
        <v>47</v>
      </c>
      <c r="B82" s="12">
        <v>10.1</v>
      </c>
    </row>
    <row r="83" spans="1:2" x14ac:dyDescent="0.25">
      <c r="A83" s="11" t="s">
        <v>46</v>
      </c>
      <c r="B83" s="12">
        <v>11.1</v>
      </c>
    </row>
    <row r="84" spans="1:2" x14ac:dyDescent="0.25">
      <c r="A84" s="11" t="s">
        <v>45</v>
      </c>
      <c r="B84" s="12">
        <v>10.7</v>
      </c>
    </row>
    <row r="85" spans="1:2" x14ac:dyDescent="0.25">
      <c r="A85" s="11" t="s">
        <v>44</v>
      </c>
      <c r="B85" s="12">
        <v>10.5</v>
      </c>
    </row>
    <row r="86" spans="1:2" x14ac:dyDescent="0.25">
      <c r="A86" s="11" t="s">
        <v>43</v>
      </c>
      <c r="B86" s="12">
        <v>10.1</v>
      </c>
    </row>
    <row r="87" spans="1:2" x14ac:dyDescent="0.25">
      <c r="A87" s="11" t="s">
        <v>42</v>
      </c>
      <c r="B87" s="12">
        <v>10.4</v>
      </c>
    </row>
    <row r="88" spans="1:2" x14ac:dyDescent="0.25">
      <c r="A88" s="11" t="s">
        <v>41</v>
      </c>
      <c r="B88" s="12">
        <v>10.1</v>
      </c>
    </row>
    <row r="89" spans="1:2" x14ac:dyDescent="0.25">
      <c r="A89" s="11" t="s">
        <v>40</v>
      </c>
      <c r="B89" s="12">
        <v>8.6999999999999993</v>
      </c>
    </row>
    <row r="90" spans="1:2" x14ac:dyDescent="0.25">
      <c r="A90" s="11" t="s">
        <v>39</v>
      </c>
      <c r="B90" s="12">
        <v>8.6999999999999993</v>
      </c>
    </row>
    <row r="91" spans="1:2" x14ac:dyDescent="0.25">
      <c r="A91" s="11" t="s">
        <v>38</v>
      </c>
      <c r="B91" s="12">
        <v>7.9</v>
      </c>
    </row>
    <row r="92" spans="1:2" x14ac:dyDescent="0.25">
      <c r="A92" s="11" t="s">
        <v>37</v>
      </c>
      <c r="B92" s="12">
        <v>6.8</v>
      </c>
    </row>
    <row r="93" spans="1:2" x14ac:dyDescent="0.25">
      <c r="A93" s="11" t="s">
        <v>36</v>
      </c>
      <c r="B93" s="12">
        <v>6.7</v>
      </c>
    </row>
    <row r="94" spans="1:2" x14ac:dyDescent="0.25">
      <c r="A94" s="11" t="s">
        <v>35</v>
      </c>
      <c r="B94" s="12">
        <v>6.7</v>
      </c>
    </row>
    <row r="95" spans="1:2" x14ac:dyDescent="0.25">
      <c r="A95" s="11" t="s">
        <v>34</v>
      </c>
      <c r="B95" s="12">
        <v>4.5999999999999996</v>
      </c>
    </row>
    <row r="96" spans="1:2" x14ac:dyDescent="0.25">
      <c r="A96" s="11" t="s">
        <v>33</v>
      </c>
      <c r="B96" s="12">
        <v>3.9</v>
      </c>
    </row>
    <row r="97" spans="1:2" x14ac:dyDescent="0.25">
      <c r="A97" s="11" t="s">
        <v>32</v>
      </c>
      <c r="B97" s="12">
        <v>4</v>
      </c>
    </row>
    <row r="98" spans="1:2" x14ac:dyDescent="0.25">
      <c r="A98" s="11" t="s">
        <v>31</v>
      </c>
      <c r="B98" s="12">
        <v>4</v>
      </c>
    </row>
    <row r="99" spans="1:2" x14ac:dyDescent="0.25">
      <c r="A99" s="11" t="s">
        <v>30</v>
      </c>
      <c r="B99" s="12">
        <v>3.4</v>
      </c>
    </row>
    <row r="100" spans="1:2" x14ac:dyDescent="0.25">
      <c r="A100" s="11" t="s">
        <v>29</v>
      </c>
      <c r="B100" s="12">
        <v>3.2</v>
      </c>
    </row>
    <row r="101" spans="1:2" x14ac:dyDescent="0.25">
      <c r="A101" s="11" t="s">
        <v>28</v>
      </c>
      <c r="B101" s="12">
        <v>2.2999999999999998</v>
      </c>
    </row>
    <row r="102" spans="1:2" x14ac:dyDescent="0.25">
      <c r="A102" s="11" t="s">
        <v>27</v>
      </c>
      <c r="B102" s="12">
        <v>2</v>
      </c>
    </row>
    <row r="103" spans="1:2" x14ac:dyDescent="0.25">
      <c r="A103" s="11" t="s">
        <v>26</v>
      </c>
      <c r="B103" s="12">
        <v>2</v>
      </c>
    </row>
    <row r="104" spans="1:2" x14ac:dyDescent="0.25">
      <c r="A104" s="11" t="s">
        <v>25</v>
      </c>
      <c r="B104" s="12">
        <v>2.2000000000000002</v>
      </c>
    </row>
    <row r="105" spans="1:2" x14ac:dyDescent="0.25">
      <c r="A105" s="11" t="s">
        <v>24</v>
      </c>
      <c r="B105" s="12">
        <v>2.2000000000000002</v>
      </c>
    </row>
    <row r="106" spans="1:2" x14ac:dyDescent="0.25">
      <c r="A106" s="11" t="s">
        <v>23</v>
      </c>
      <c r="B106" s="12">
        <v>1.7</v>
      </c>
    </row>
    <row r="107" spans="1:2" x14ac:dyDescent="0.25">
      <c r="A107" s="11" t="s">
        <v>22</v>
      </c>
      <c r="B107" s="12">
        <v>2.2999999999999998</v>
      </c>
    </row>
    <row r="108" spans="1:2" x14ac:dyDescent="0.25">
      <c r="A108" s="11" t="s">
        <v>21</v>
      </c>
      <c r="B108" s="12">
        <v>2.6</v>
      </c>
    </row>
    <row r="109" spans="1:2" x14ac:dyDescent="0.25">
      <c r="A109" s="11" t="s">
        <v>20</v>
      </c>
      <c r="B109" s="12">
        <v>2.5</v>
      </c>
    </row>
    <row r="110" spans="1:2" x14ac:dyDescent="0.25">
      <c r="A110" s="11" t="s">
        <v>19</v>
      </c>
      <c r="B110" s="12">
        <v>3</v>
      </c>
    </row>
    <row r="111" spans="1:2" x14ac:dyDescent="0.25">
      <c r="A111" s="11" t="s">
        <v>18</v>
      </c>
      <c r="B111" s="12">
        <v>2.8</v>
      </c>
    </row>
    <row r="112" spans="1:2" x14ac:dyDescent="0.25">
      <c r="A112" s="11" t="s">
        <v>17</v>
      </c>
      <c r="B112" s="12">
        <v>2.6</v>
      </c>
    </row>
    <row r="113" spans="1:2" x14ac:dyDescent="0.25">
      <c r="A113" s="11" t="s">
        <v>16</v>
      </c>
      <c r="B113" s="12">
        <v>3.5</v>
      </c>
    </row>
    <row r="114" spans="1:2" x14ac:dyDescent="0.25">
      <c r="A114" s="11" t="s">
        <v>15</v>
      </c>
      <c r="B114" s="12">
        <v>3.4</v>
      </c>
    </row>
    <row r="115" spans="1:2" x14ac:dyDescent="0.25">
      <c r="A115" s="11" t="s">
        <v>14</v>
      </c>
      <c r="B115" s="12">
        <v>3.6</v>
      </c>
    </row>
    <row r="116" spans="1:2" x14ac:dyDescent="0.25">
      <c r="A116" s="11" t="s">
        <v>13</v>
      </c>
      <c r="B116" s="12">
        <v>3.8</v>
      </c>
    </row>
    <row r="117" spans="1:2" x14ac:dyDescent="0.25">
      <c r="A117" s="11" t="s">
        <v>12</v>
      </c>
      <c r="B117" s="12">
        <v>3.8</v>
      </c>
    </row>
    <row r="118" spans="1:2" x14ac:dyDescent="0.25">
      <c r="A118" s="11" t="s">
        <v>11</v>
      </c>
      <c r="B118" s="12">
        <v>3.8</v>
      </c>
    </row>
    <row r="119" spans="1:2" x14ac:dyDescent="0.25">
      <c r="A119" s="11" t="s">
        <v>10</v>
      </c>
      <c r="B119" s="12">
        <v>3.6</v>
      </c>
    </row>
    <row r="120" spans="1:2" x14ac:dyDescent="0.25">
      <c r="A120" s="11" t="s">
        <v>9</v>
      </c>
      <c r="B120" s="12">
        <v>3.2</v>
      </c>
    </row>
    <row r="121" spans="1:2" x14ac:dyDescent="0.25">
      <c r="A121" s="11" t="s">
        <v>8</v>
      </c>
      <c r="B121" s="12">
        <v>3.4</v>
      </c>
    </row>
    <row r="122" spans="1:2" x14ac:dyDescent="0.25">
      <c r="A122" s="11" t="s">
        <v>7</v>
      </c>
      <c r="B122" s="12">
        <v>3</v>
      </c>
    </row>
    <row r="123" spans="1:2" x14ac:dyDescent="0.25">
      <c r="A123" s="11" t="s">
        <v>6</v>
      </c>
      <c r="B123" s="12">
        <v>3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6C01-C12E-426C-92B0-0F051308A180}">
  <dimension ref="A1:J125"/>
  <sheetViews>
    <sheetView topLeftCell="A48" zoomScale="75" workbookViewId="0">
      <selection sqref="A1:D82"/>
    </sheetView>
  </sheetViews>
  <sheetFormatPr baseColWidth="10" defaultRowHeight="14.4" x14ac:dyDescent="0.3"/>
  <cols>
    <col min="2" max="2" width="14.33203125" customWidth="1"/>
    <col min="9" max="9" width="25.6640625" customWidth="1"/>
    <col min="10" max="10" width="24.44140625" customWidth="1"/>
  </cols>
  <sheetData>
    <row r="1" spans="1:10" x14ac:dyDescent="0.3">
      <c r="A1" s="17" t="str">
        <f>'Rate decisions'!D2</f>
        <v>Meeting Date</v>
      </c>
      <c r="B1" t="s">
        <v>145</v>
      </c>
      <c r="C1" t="s">
        <v>135</v>
      </c>
      <c r="D1" t="s">
        <v>136</v>
      </c>
      <c r="G1" t="s">
        <v>131</v>
      </c>
      <c r="H1" t="s">
        <v>132</v>
      </c>
      <c r="I1" t="s">
        <v>144</v>
      </c>
      <c r="J1" s="13" t="s">
        <v>128</v>
      </c>
    </row>
    <row r="2" spans="1:10" x14ac:dyDescent="0.3">
      <c r="A2" s="17">
        <f>'Rate decisions'!D3</f>
        <v>46100</v>
      </c>
      <c r="B2">
        <f>_xlfn.XLOOKUP(A2, G2:G122, I2:I122,,-1)</f>
        <v>3.2000000000000006</v>
      </c>
      <c r="C2">
        <f>_xlfn.XLOOKUP(A2, G2:G122, J2:J122,,-1)</f>
        <v>0.3</v>
      </c>
      <c r="D2">
        <f>_xlfn.XLOOKUP(A2, 'Rate decisions'!D3:D83,'Rate decisions'!E3:E83,,-1)</f>
        <v>3.75</v>
      </c>
      <c r="G2" s="15">
        <v>46023</v>
      </c>
      <c r="H2" s="14">
        <v>3</v>
      </c>
      <c r="I2" s="3">
        <f>AVERAGE(H2:H4)</f>
        <v>3.2000000000000006</v>
      </c>
      <c r="J2" s="14">
        <v>0.3</v>
      </c>
    </row>
    <row r="3" spans="1:10" x14ac:dyDescent="0.3">
      <c r="A3" s="17">
        <f>'Rate decisions'!D4</f>
        <v>46058</v>
      </c>
      <c r="B3">
        <f t="shared" ref="B3:B66" si="0">_xlfn.XLOOKUP(A3, G3:G123, H3:H123,,-1)</f>
        <v>3.4</v>
      </c>
      <c r="C3">
        <f>_xlfn.XLOOKUP(A3, G3:G123, J3:J123,,-1)</f>
        <v>0</v>
      </c>
      <c r="D3">
        <f>_xlfn.XLOOKUP(A3, 'Rate decisions'!D4:D84,'Rate decisions'!E4:E84,,-1)</f>
        <v>3.75</v>
      </c>
      <c r="G3" s="15">
        <v>45992</v>
      </c>
      <c r="H3" s="14">
        <v>3.4</v>
      </c>
      <c r="I3" s="3">
        <f t="shared" ref="I3:I66" si="1">AVERAGE(H3:H5)</f>
        <v>3.4</v>
      </c>
      <c r="J3" s="14">
        <v>0</v>
      </c>
    </row>
    <row r="4" spans="1:10" x14ac:dyDescent="0.3">
      <c r="A4" s="17">
        <f>'Rate decisions'!D5</f>
        <v>46009</v>
      </c>
      <c r="B4">
        <f t="shared" si="0"/>
        <v>3.2</v>
      </c>
      <c r="C4">
        <f>_xlfn.XLOOKUP(A4, G4:G124, J4:J124,,-1)</f>
        <v>-0.1</v>
      </c>
      <c r="D4">
        <f>_xlfn.XLOOKUP(A4, 'Rate decisions'!D5:D85,'Rate decisions'!E5:E85,,-1)</f>
        <v>3.75</v>
      </c>
      <c r="G4" s="15">
        <v>45962</v>
      </c>
      <c r="H4" s="14">
        <v>3.2</v>
      </c>
      <c r="I4" s="3">
        <f t="shared" si="1"/>
        <v>3.5333333333333337</v>
      </c>
      <c r="J4" s="14">
        <v>-0.1</v>
      </c>
    </row>
    <row r="5" spans="1:10" x14ac:dyDescent="0.3">
      <c r="A5" s="17">
        <f>'Rate decisions'!D6</f>
        <v>45967</v>
      </c>
      <c r="B5">
        <f t="shared" si="0"/>
        <v>3.6</v>
      </c>
      <c r="C5">
        <f>_xlfn.XLOOKUP(A5, G5:G125, J5:J125,,-1)</f>
        <v>-0.1</v>
      </c>
      <c r="D5">
        <f>_xlfn.XLOOKUP(A5, 'Rate decisions'!D6:D86,'Rate decisions'!E6:E86,,-1)</f>
        <v>4</v>
      </c>
      <c r="G5" s="15">
        <v>45931</v>
      </c>
      <c r="H5" s="14">
        <v>3.6</v>
      </c>
      <c r="I5" s="3">
        <f t="shared" si="1"/>
        <v>3.7333333333333329</v>
      </c>
      <c r="J5" s="14">
        <v>-0.1</v>
      </c>
    </row>
    <row r="6" spans="1:10" x14ac:dyDescent="0.3">
      <c r="A6" s="17">
        <f>'Rate decisions'!D7</f>
        <v>45918</v>
      </c>
      <c r="B6">
        <f t="shared" si="0"/>
        <v>3.8</v>
      </c>
      <c r="C6">
        <f>_xlfn.XLOOKUP(A6, G6:G126, J6:J126,,-1)</f>
        <v>0</v>
      </c>
      <c r="D6">
        <f>_xlfn.XLOOKUP(A6, 'Rate decisions'!D7:D87,'Rate decisions'!E7:E87,,-1)</f>
        <v>4</v>
      </c>
      <c r="G6" s="15">
        <v>45901</v>
      </c>
      <c r="H6" s="14">
        <v>3.8</v>
      </c>
      <c r="I6" s="3">
        <f t="shared" si="1"/>
        <v>3.7999999999999994</v>
      </c>
      <c r="J6" s="14">
        <v>0</v>
      </c>
    </row>
    <row r="7" spans="1:10" x14ac:dyDescent="0.3">
      <c r="A7" s="17">
        <f>'Rate decisions'!D8</f>
        <v>45876</v>
      </c>
      <c r="B7">
        <f t="shared" si="0"/>
        <v>3.8</v>
      </c>
      <c r="C7">
        <f>_xlfn.XLOOKUP(A7, G7:G127, J7:J127,,-1)</f>
        <v>0.2</v>
      </c>
      <c r="D7">
        <f>_xlfn.XLOOKUP(A7, 'Rate decisions'!D8:D88,'Rate decisions'!E8:E88,,-1)</f>
        <v>4</v>
      </c>
      <c r="G7" s="15">
        <v>45870</v>
      </c>
      <c r="H7" s="14">
        <v>3.8</v>
      </c>
      <c r="I7" s="3">
        <f t="shared" si="1"/>
        <v>3.7333333333333329</v>
      </c>
      <c r="J7" s="14">
        <v>0.2</v>
      </c>
    </row>
    <row r="8" spans="1:10" x14ac:dyDescent="0.3">
      <c r="A8" s="17">
        <f>'Rate decisions'!D9</f>
        <v>45827</v>
      </c>
      <c r="B8">
        <f t="shared" si="0"/>
        <v>3.6</v>
      </c>
      <c r="C8">
        <f>_xlfn.XLOOKUP(A8, G8:G128, J8:J128,,-1)</f>
        <v>0.1</v>
      </c>
      <c r="D8">
        <f>_xlfn.XLOOKUP(A8, 'Rate decisions'!D9:D89,'Rate decisions'!E9:E89,,-1)</f>
        <v>4.25</v>
      </c>
      <c r="G8" s="15">
        <v>45839</v>
      </c>
      <c r="H8" s="14">
        <v>3.8</v>
      </c>
      <c r="I8" s="3">
        <f t="shared" si="1"/>
        <v>3.6</v>
      </c>
      <c r="J8" s="14">
        <v>0.1</v>
      </c>
    </row>
    <row r="9" spans="1:10" x14ac:dyDescent="0.3">
      <c r="A9" s="17">
        <f>'Rate decisions'!D10</f>
        <v>45785</v>
      </c>
      <c r="B9">
        <f t="shared" si="0"/>
        <v>3.4</v>
      </c>
      <c r="C9">
        <f>_xlfn.XLOOKUP(A9, G9:G129, J9:J129,,-1)</f>
        <v>0.3</v>
      </c>
      <c r="D9">
        <f>_xlfn.XLOOKUP(A9, 'Rate decisions'!D10:D90,'Rate decisions'!E10:E90,,-1)</f>
        <v>4.25</v>
      </c>
      <c r="G9" s="15">
        <v>45809</v>
      </c>
      <c r="H9" s="14">
        <v>3.6</v>
      </c>
      <c r="I9" s="3">
        <f t="shared" si="1"/>
        <v>3.5</v>
      </c>
      <c r="J9" s="14">
        <v>0.1</v>
      </c>
    </row>
    <row r="10" spans="1:10" x14ac:dyDescent="0.3">
      <c r="A10" s="17">
        <f>'Rate decisions'!D11</f>
        <v>45736</v>
      </c>
      <c r="B10">
        <f t="shared" si="0"/>
        <v>2.6</v>
      </c>
      <c r="C10">
        <f>_xlfn.XLOOKUP(A10, G10:G130, J10:J130,,-1)</f>
        <v>0.6</v>
      </c>
      <c r="D10">
        <f>_xlfn.XLOOKUP(A10, 'Rate decisions'!D11:D91,'Rate decisions'!E11:E91,,-1)</f>
        <v>4.5</v>
      </c>
      <c r="G10" s="15">
        <v>45778</v>
      </c>
      <c r="H10" s="14">
        <v>3.4</v>
      </c>
      <c r="I10" s="3">
        <f t="shared" si="1"/>
        <v>3.1666666666666665</v>
      </c>
      <c r="J10" s="14">
        <v>0.3</v>
      </c>
    </row>
    <row r="11" spans="1:10" x14ac:dyDescent="0.3">
      <c r="A11" s="17">
        <f>'Rate decisions'!D12</f>
        <v>45694</v>
      </c>
      <c r="B11">
        <f t="shared" si="0"/>
        <v>2.8</v>
      </c>
      <c r="C11">
        <f>_xlfn.XLOOKUP(A11, G11:G131, J11:J131,,-1)</f>
        <v>0.6</v>
      </c>
      <c r="D11">
        <f>_xlfn.XLOOKUP(A11, 'Rate decisions'!D12:D92,'Rate decisions'!E12:E92,,-1)</f>
        <v>4.5</v>
      </c>
      <c r="G11" s="15">
        <v>45748</v>
      </c>
      <c r="H11" s="14">
        <v>3.5</v>
      </c>
      <c r="I11" s="3">
        <f t="shared" si="1"/>
        <v>2.9666666666666663</v>
      </c>
      <c r="J11" s="14">
        <v>0.5</v>
      </c>
    </row>
    <row r="12" spans="1:10" x14ac:dyDescent="0.3">
      <c r="A12" s="17">
        <f>'Rate decisions'!D13</f>
        <v>45645</v>
      </c>
      <c r="B12">
        <f t="shared" si="0"/>
        <v>2.5</v>
      </c>
      <c r="C12">
        <f>_xlfn.XLOOKUP(A12, G12:G132, J12:J132,,-1)</f>
        <v>0.4</v>
      </c>
      <c r="D12">
        <f>_xlfn.XLOOKUP(A12, 'Rate decisions'!D13:D93,'Rate decisions'!E13:E93,,-1)</f>
        <v>4.75</v>
      </c>
      <c r="G12" s="15">
        <v>45717</v>
      </c>
      <c r="H12" s="14">
        <v>2.6</v>
      </c>
      <c r="I12" s="3">
        <f t="shared" si="1"/>
        <v>2.8000000000000003</v>
      </c>
      <c r="J12" s="14">
        <v>0.6</v>
      </c>
    </row>
    <row r="13" spans="1:10" x14ac:dyDescent="0.3">
      <c r="A13" s="17">
        <f>'Rate decisions'!D14</f>
        <v>45603</v>
      </c>
      <c r="B13">
        <f t="shared" si="0"/>
        <v>2.6</v>
      </c>
      <c r="C13">
        <f>_xlfn.XLOOKUP(A13, G13:G133, J13:J133,,-1)</f>
        <v>0.2</v>
      </c>
      <c r="D13">
        <f>_xlfn.XLOOKUP(A13, 'Rate decisions'!D14:D94,'Rate decisions'!E14:E94,,-1)</f>
        <v>4.75</v>
      </c>
      <c r="G13" s="15">
        <v>45689</v>
      </c>
      <c r="H13" s="14">
        <v>2.8</v>
      </c>
      <c r="I13" s="3">
        <f t="shared" si="1"/>
        <v>2.7666666666666671</v>
      </c>
      <c r="J13" s="14">
        <v>0.6</v>
      </c>
    </row>
    <row r="14" spans="1:10" x14ac:dyDescent="0.3">
      <c r="A14" s="17">
        <f>'Rate decisions'!D15</f>
        <v>45554</v>
      </c>
      <c r="B14">
        <f t="shared" si="0"/>
        <v>1.7</v>
      </c>
      <c r="C14">
        <f>_xlfn.XLOOKUP(A14, G14:G134, J14:J134,,-1)</f>
        <v>0.1</v>
      </c>
      <c r="D14">
        <f>_xlfn.XLOOKUP(A14, 'Rate decisions'!D15:D95,'Rate decisions'!E15:E95,,-1)</f>
        <v>5</v>
      </c>
      <c r="G14" s="15">
        <v>45658</v>
      </c>
      <c r="H14" s="14">
        <v>3</v>
      </c>
      <c r="I14" s="3">
        <f t="shared" si="1"/>
        <v>2.6999999999999997</v>
      </c>
      <c r="J14" s="14">
        <v>0.4</v>
      </c>
    </row>
    <row r="15" spans="1:10" x14ac:dyDescent="0.3">
      <c r="A15" s="17">
        <f>'Rate decisions'!D16</f>
        <v>45505</v>
      </c>
      <c r="B15">
        <f t="shared" si="0"/>
        <v>2.2000000000000002</v>
      </c>
      <c r="C15">
        <f>_xlfn.XLOOKUP(A15, G15:G135, J15:J135,,-1)</f>
        <v>0.1</v>
      </c>
      <c r="D15">
        <f>_xlfn.XLOOKUP(A15, 'Rate decisions'!D16:D96,'Rate decisions'!E16:E96,,-1)</f>
        <v>5</v>
      </c>
      <c r="G15" s="15">
        <v>45627</v>
      </c>
      <c r="H15" s="14">
        <v>2.5</v>
      </c>
      <c r="I15" s="3">
        <f t="shared" si="1"/>
        <v>2.4666666666666663</v>
      </c>
      <c r="J15" s="14">
        <v>0.4</v>
      </c>
    </row>
    <row r="16" spans="1:10" x14ac:dyDescent="0.3">
      <c r="A16" s="17">
        <f>'Rate decisions'!D17</f>
        <v>45463</v>
      </c>
      <c r="B16">
        <f t="shared" si="0"/>
        <v>2</v>
      </c>
      <c r="C16">
        <f>_xlfn.XLOOKUP(A16, G16:G136, J16:J136,,-1)</f>
        <v>0.6</v>
      </c>
      <c r="D16">
        <f>_xlfn.XLOOKUP(A16, 'Rate decisions'!D17:D97,'Rate decisions'!E17:E97,,-1)</f>
        <v>5.25</v>
      </c>
      <c r="G16" s="15">
        <v>45597</v>
      </c>
      <c r="H16" s="14">
        <v>2.6</v>
      </c>
      <c r="I16" s="3">
        <f t="shared" si="1"/>
        <v>2.2000000000000002</v>
      </c>
      <c r="J16" s="14">
        <v>0.2</v>
      </c>
    </row>
    <row r="17" spans="1:10" x14ac:dyDescent="0.3">
      <c r="A17" s="17">
        <f>'Rate decisions'!D18</f>
        <v>45421</v>
      </c>
      <c r="B17">
        <f t="shared" si="0"/>
        <v>2</v>
      </c>
      <c r="C17">
        <f>_xlfn.XLOOKUP(A17, G17:G137, J17:J137,,-1)</f>
        <v>0.8</v>
      </c>
      <c r="D17">
        <f>_xlfn.XLOOKUP(A17, 'Rate decisions'!D18:D98,'Rate decisions'!E18:E98,,-1)</f>
        <v>5.25</v>
      </c>
      <c r="G17" s="15">
        <v>45566</v>
      </c>
      <c r="H17" s="14">
        <v>2.2999999999999998</v>
      </c>
      <c r="I17" s="3">
        <f t="shared" si="1"/>
        <v>2.0666666666666669</v>
      </c>
      <c r="J17" s="14">
        <v>0.2</v>
      </c>
    </row>
    <row r="18" spans="1:10" x14ac:dyDescent="0.3">
      <c r="A18" s="17">
        <f>'Rate decisions'!D19</f>
        <v>45372</v>
      </c>
      <c r="B18">
        <f t="shared" si="0"/>
        <v>3.2</v>
      </c>
      <c r="C18">
        <f>_xlfn.XLOOKUP(A18, G18:G138, J18:J138,,-1)</f>
        <v>0.6</v>
      </c>
      <c r="D18">
        <f>_xlfn.XLOOKUP(A18, 'Rate decisions'!D19:D99,'Rate decisions'!E19:E99,,-1)</f>
        <v>5.25</v>
      </c>
      <c r="G18" s="15">
        <v>45536</v>
      </c>
      <c r="H18" s="14">
        <v>1.7</v>
      </c>
      <c r="I18" s="3">
        <f t="shared" si="1"/>
        <v>2.0333333333333337</v>
      </c>
      <c r="J18" s="14">
        <v>0.1</v>
      </c>
    </row>
    <row r="19" spans="1:10" x14ac:dyDescent="0.3">
      <c r="A19" s="17">
        <f>'Rate decisions'!D20</f>
        <v>45323</v>
      </c>
      <c r="B19">
        <f t="shared" si="0"/>
        <v>3.4</v>
      </c>
      <c r="C19">
        <f>_xlfn.XLOOKUP(A19, G19:G139, J19:J139,,-1)</f>
        <v>0.2</v>
      </c>
      <c r="D19">
        <f>_xlfn.XLOOKUP(A19, 'Rate decisions'!D20:D100,'Rate decisions'!E20:E100,,-1)</f>
        <v>5.25</v>
      </c>
      <c r="G19" s="15">
        <v>45505</v>
      </c>
      <c r="H19" s="14">
        <v>2.2000000000000002</v>
      </c>
      <c r="I19" s="3">
        <f t="shared" si="1"/>
        <v>2.1333333333333333</v>
      </c>
      <c r="J19" s="14">
        <v>0.1</v>
      </c>
    </row>
    <row r="20" spans="1:10" x14ac:dyDescent="0.3">
      <c r="A20" s="17">
        <f>'Rate decisions'!D21</f>
        <v>45274</v>
      </c>
      <c r="B20">
        <f t="shared" si="0"/>
        <v>4</v>
      </c>
      <c r="C20">
        <f>_xlfn.XLOOKUP(A20, G20:G140, J20:J140,,-1)</f>
        <v>-0.3</v>
      </c>
      <c r="D20">
        <f>_xlfn.XLOOKUP(A20, 'Rate decisions'!D21:D101,'Rate decisions'!E21:E101,,-1)</f>
        <v>5.25</v>
      </c>
      <c r="G20" s="15">
        <v>45474</v>
      </c>
      <c r="H20" s="14">
        <v>2.2000000000000002</v>
      </c>
      <c r="I20" s="3">
        <f t="shared" si="1"/>
        <v>2.0666666666666669</v>
      </c>
      <c r="J20" s="14">
        <v>0.4</v>
      </c>
    </row>
    <row r="21" spans="1:10" x14ac:dyDescent="0.3">
      <c r="A21" s="17">
        <f>'Rate decisions'!D22</f>
        <v>45232</v>
      </c>
      <c r="B21">
        <f t="shared" si="0"/>
        <v>3.9</v>
      </c>
      <c r="C21">
        <f>_xlfn.XLOOKUP(A21, G21:G141, J21:J141,,-1)</f>
        <v>-0.4</v>
      </c>
      <c r="D21">
        <f>_xlfn.XLOOKUP(A21, 'Rate decisions'!D22:D102,'Rate decisions'!E22:E102,,-1)</f>
        <v>5.25</v>
      </c>
      <c r="G21" s="15">
        <v>45444</v>
      </c>
      <c r="H21" s="14">
        <v>2</v>
      </c>
      <c r="I21" s="3">
        <f t="shared" si="1"/>
        <v>2.1</v>
      </c>
      <c r="J21" s="14">
        <v>0.6</v>
      </c>
    </row>
    <row r="22" spans="1:10" x14ac:dyDescent="0.3">
      <c r="A22" s="17">
        <f>'Rate decisions'!D23</f>
        <v>45190</v>
      </c>
      <c r="B22">
        <f t="shared" si="0"/>
        <v>6.7</v>
      </c>
      <c r="C22">
        <f>_xlfn.XLOOKUP(A22, G22:G142, J22:J142,,-1)</f>
        <v>-0.1</v>
      </c>
      <c r="D22">
        <f>_xlfn.XLOOKUP(A22, 'Rate decisions'!D23:D103,'Rate decisions'!E23:E103,,-1)</f>
        <v>5.25</v>
      </c>
      <c r="G22" s="15">
        <v>45413</v>
      </c>
      <c r="H22" s="14">
        <v>2</v>
      </c>
      <c r="I22" s="3">
        <f t="shared" si="1"/>
        <v>2.5</v>
      </c>
      <c r="J22" s="14">
        <v>0.8</v>
      </c>
    </row>
    <row r="23" spans="1:10" x14ac:dyDescent="0.3">
      <c r="A23" s="17">
        <f>'Rate decisions'!D24</f>
        <v>45141</v>
      </c>
      <c r="B23">
        <f t="shared" si="0"/>
        <v>6.7</v>
      </c>
      <c r="C23">
        <f>_xlfn.XLOOKUP(A23, G23:G143, J23:J143,,-1)</f>
        <v>0.2</v>
      </c>
      <c r="D23">
        <f>_xlfn.XLOOKUP(A23, 'Rate decisions'!D24:D104,'Rate decisions'!E24:E104,,-1)</f>
        <v>5.25</v>
      </c>
      <c r="G23" s="15">
        <v>45383</v>
      </c>
      <c r="H23" s="14">
        <v>2.2999999999999998</v>
      </c>
      <c r="I23" s="3">
        <f t="shared" si="1"/>
        <v>2.9666666666666668</v>
      </c>
      <c r="J23" s="14">
        <v>0.7</v>
      </c>
    </row>
    <row r="24" spans="1:10" x14ac:dyDescent="0.3">
      <c r="A24" s="17">
        <f>'Rate decisions'!D25</f>
        <v>45099</v>
      </c>
      <c r="B24">
        <f t="shared" si="0"/>
        <v>7.9</v>
      </c>
      <c r="C24">
        <f>_xlfn.XLOOKUP(A24, G24:G144, J24:J144,,-1)</f>
        <v>0</v>
      </c>
      <c r="D24">
        <f>_xlfn.XLOOKUP(A24, 'Rate decisions'!D25:D105,'Rate decisions'!E25:E105,,-1)</f>
        <v>5</v>
      </c>
      <c r="G24" s="15">
        <v>45352</v>
      </c>
      <c r="H24" s="14">
        <v>3.2</v>
      </c>
      <c r="I24" s="3">
        <f t="shared" si="1"/>
        <v>3.5333333333333332</v>
      </c>
      <c r="J24" s="14">
        <v>0.6</v>
      </c>
    </row>
    <row r="25" spans="1:10" x14ac:dyDescent="0.3">
      <c r="A25" s="17">
        <f>'Rate decisions'!D26</f>
        <v>45057</v>
      </c>
      <c r="B25">
        <f t="shared" si="0"/>
        <v>8.6999999999999993</v>
      </c>
      <c r="C25">
        <f>_xlfn.XLOOKUP(A25, G25:G145, J25:J145,,-1)</f>
        <v>-0.1</v>
      </c>
      <c r="D25">
        <f>_xlfn.XLOOKUP(A25, 'Rate decisions'!D26:D106,'Rate decisions'!E26:E106,,-1)</f>
        <v>4.5</v>
      </c>
      <c r="G25" s="15">
        <v>45323</v>
      </c>
      <c r="H25" s="14">
        <v>3.4</v>
      </c>
      <c r="I25" s="3">
        <f t="shared" si="1"/>
        <v>3.8000000000000003</v>
      </c>
      <c r="J25" s="14">
        <v>0.2</v>
      </c>
    </row>
    <row r="26" spans="1:10" x14ac:dyDescent="0.3">
      <c r="A26" s="17">
        <f>'Rate decisions'!D27</f>
        <v>45008</v>
      </c>
      <c r="B26">
        <f t="shared" si="0"/>
        <v>10.1</v>
      </c>
      <c r="C26">
        <f>_xlfn.XLOOKUP(A26, G26:G146, J26:J146,,-1)</f>
        <v>0.1</v>
      </c>
      <c r="D26">
        <f>_xlfn.XLOOKUP(A26, 'Rate decisions'!D27:D107,'Rate decisions'!E27:E107,,-1)</f>
        <v>4.25</v>
      </c>
      <c r="G26" s="15">
        <v>45292</v>
      </c>
      <c r="H26" s="14">
        <v>4</v>
      </c>
      <c r="I26" s="3">
        <f t="shared" si="1"/>
        <v>3.9666666666666668</v>
      </c>
      <c r="J26" s="14">
        <v>0</v>
      </c>
    </row>
    <row r="27" spans="1:10" x14ac:dyDescent="0.3">
      <c r="A27" s="17">
        <f>'Rate decisions'!D28</f>
        <v>44959</v>
      </c>
      <c r="B27">
        <f t="shared" si="0"/>
        <v>10.4</v>
      </c>
      <c r="C27">
        <f>_xlfn.XLOOKUP(A27, G27:G147, J27:J147,,-1)</f>
        <v>0.2</v>
      </c>
      <c r="D27">
        <f>_xlfn.XLOOKUP(A27, 'Rate decisions'!D28:D108,'Rate decisions'!E28:E108,,-1)</f>
        <v>4</v>
      </c>
      <c r="G27" s="15">
        <v>45261</v>
      </c>
      <c r="H27" s="14">
        <v>4</v>
      </c>
      <c r="I27" s="3">
        <f t="shared" si="1"/>
        <v>4.166666666666667</v>
      </c>
      <c r="J27" s="14">
        <v>-0.3</v>
      </c>
    </row>
    <row r="28" spans="1:10" x14ac:dyDescent="0.3">
      <c r="A28" s="17">
        <f>'Rate decisions'!D29</f>
        <v>44910</v>
      </c>
      <c r="B28">
        <f t="shared" si="0"/>
        <v>10.5</v>
      </c>
      <c r="C28">
        <f>_xlfn.XLOOKUP(A28, G28:G148, J28:J148,,-1)</f>
        <v>0.4</v>
      </c>
      <c r="D28">
        <f>_xlfn.XLOOKUP(A28, 'Rate decisions'!D29:D109,'Rate decisions'!E29:E109,,-1)</f>
        <v>3.5</v>
      </c>
      <c r="G28" s="15">
        <v>45231</v>
      </c>
      <c r="H28" s="14">
        <v>3.9</v>
      </c>
      <c r="I28" s="3">
        <f t="shared" si="1"/>
        <v>5.0666666666666664</v>
      </c>
      <c r="J28" s="14">
        <v>-0.4</v>
      </c>
    </row>
    <row r="29" spans="1:10" x14ac:dyDescent="0.3">
      <c r="A29" s="17">
        <f>'Rate decisions'!D30</f>
        <v>44826</v>
      </c>
      <c r="B29">
        <f t="shared" si="0"/>
        <v>10.1</v>
      </c>
      <c r="C29">
        <f>_xlfn.XLOOKUP(A29, G29:G149, J29:J149,,-1)</f>
        <v>0</v>
      </c>
      <c r="D29">
        <f>_xlfn.XLOOKUP(A29, 'Rate decisions'!D30:D110,'Rate decisions'!E30:E110,,-1)</f>
        <v>2.25</v>
      </c>
      <c r="G29" s="15">
        <v>45200</v>
      </c>
      <c r="H29" s="14">
        <v>4.5999999999999996</v>
      </c>
      <c r="I29" s="3">
        <f t="shared" si="1"/>
        <v>6</v>
      </c>
      <c r="J29" s="14">
        <v>-0.3</v>
      </c>
    </row>
    <row r="30" spans="1:10" x14ac:dyDescent="0.3">
      <c r="A30" s="17">
        <f>'Rate decisions'!D31</f>
        <v>44777</v>
      </c>
      <c r="B30">
        <f t="shared" si="0"/>
        <v>9.9</v>
      </c>
      <c r="C30">
        <f>_xlfn.XLOOKUP(A30, G30:G150, J30:J150,,-1)</f>
        <v>0.1</v>
      </c>
      <c r="D30">
        <f>_xlfn.XLOOKUP(A30, 'Rate decisions'!D31:D111,'Rate decisions'!E31:E111,,-1)</f>
        <v>1.75</v>
      </c>
      <c r="G30" s="15">
        <v>45170</v>
      </c>
      <c r="H30" s="14">
        <v>6.7</v>
      </c>
      <c r="I30" s="3">
        <f t="shared" si="1"/>
        <v>6.7333333333333334</v>
      </c>
      <c r="J30" s="14">
        <v>-0.1</v>
      </c>
    </row>
    <row r="31" spans="1:10" x14ac:dyDescent="0.3">
      <c r="A31" s="17">
        <f>'Rate decisions'!D32</f>
        <v>44728</v>
      </c>
      <c r="B31">
        <f t="shared" si="0"/>
        <v>9.4</v>
      </c>
      <c r="C31">
        <f>_xlfn.XLOOKUP(A31, G31:G151, J31:J151,,-1)</f>
        <v>0.5</v>
      </c>
      <c r="D31">
        <f>_xlfn.XLOOKUP(A31, 'Rate decisions'!D32:D112,'Rate decisions'!E32:E112,,-1)</f>
        <v>1.25</v>
      </c>
      <c r="G31" s="15">
        <v>45139</v>
      </c>
      <c r="H31" s="14">
        <v>6.7</v>
      </c>
      <c r="I31" s="3">
        <f t="shared" si="1"/>
        <v>7.1333333333333329</v>
      </c>
      <c r="J31" s="14">
        <v>0.2</v>
      </c>
    </row>
    <row r="32" spans="1:10" x14ac:dyDescent="0.3">
      <c r="A32" s="17">
        <f>'Rate decisions'!D33</f>
        <v>44686</v>
      </c>
      <c r="B32">
        <f t="shared" si="0"/>
        <v>9.1</v>
      </c>
      <c r="C32">
        <f>_xlfn.XLOOKUP(A32, G32:G152, J32:J152,,-1)</f>
        <v>0.8</v>
      </c>
      <c r="D32">
        <f>_xlfn.XLOOKUP(A32, 'Rate decisions'!D33:D113,'Rate decisions'!E33:E113,,-1)</f>
        <v>1</v>
      </c>
      <c r="G32" s="15">
        <v>45108</v>
      </c>
      <c r="H32" s="14">
        <v>6.8</v>
      </c>
      <c r="I32" s="3">
        <f t="shared" si="1"/>
        <v>7.8</v>
      </c>
      <c r="J32" s="14">
        <v>0</v>
      </c>
    </row>
    <row r="33" spans="1:10" x14ac:dyDescent="0.3">
      <c r="A33" s="17">
        <f>'Rate decisions'!D34</f>
        <v>44637</v>
      </c>
      <c r="B33">
        <f t="shared" si="0"/>
        <v>7</v>
      </c>
      <c r="C33">
        <f>_xlfn.XLOOKUP(A33, G33:G153, J33:J153,,-1)</f>
        <v>0.9</v>
      </c>
      <c r="D33">
        <f>_xlfn.XLOOKUP(A33, 'Rate decisions'!D34:D114,'Rate decisions'!E34:E114,,-1)</f>
        <v>0.75</v>
      </c>
      <c r="G33" s="15">
        <v>45078</v>
      </c>
      <c r="H33" s="14">
        <v>7.9</v>
      </c>
      <c r="I33" s="3">
        <f t="shared" si="1"/>
        <v>8.4333333333333336</v>
      </c>
      <c r="J33" s="14">
        <v>0</v>
      </c>
    </row>
    <row r="34" spans="1:10" x14ac:dyDescent="0.3">
      <c r="A34" s="17">
        <f>'Rate decisions'!D35</f>
        <v>44595</v>
      </c>
      <c r="B34">
        <f t="shared" si="0"/>
        <v>6.2</v>
      </c>
      <c r="C34">
        <f>_xlfn.XLOOKUP(A34, G34:G154, J34:J154,,-1)</f>
        <v>0.7</v>
      </c>
      <c r="D34">
        <f>_xlfn.XLOOKUP(A34, 'Rate decisions'!D35:D115,'Rate decisions'!E35:E115,,-1)</f>
        <v>0.5</v>
      </c>
      <c r="G34" s="15">
        <v>45047</v>
      </c>
      <c r="H34" s="14">
        <v>8.6999999999999993</v>
      </c>
      <c r="I34" s="3">
        <f t="shared" si="1"/>
        <v>9.1666666666666661</v>
      </c>
      <c r="J34" s="14">
        <v>-0.1</v>
      </c>
    </row>
    <row r="35" spans="1:10" x14ac:dyDescent="0.3">
      <c r="A35" s="17">
        <f>'Rate decisions'!D36</f>
        <v>44546</v>
      </c>
      <c r="B35">
        <f t="shared" si="0"/>
        <v>5.4</v>
      </c>
      <c r="C35">
        <f>_xlfn.XLOOKUP(A35, G35:G155, J35:J155,,-1)</f>
        <v>1.2</v>
      </c>
      <c r="D35">
        <f>_xlfn.XLOOKUP(A35, 'Rate decisions'!D36:D116,'Rate decisions'!E36:E116,,-1)</f>
        <v>0.25</v>
      </c>
      <c r="G35" s="15">
        <v>45017</v>
      </c>
      <c r="H35" s="14">
        <v>8.6999999999999993</v>
      </c>
      <c r="I35" s="3">
        <f t="shared" si="1"/>
        <v>9.7333333333333325</v>
      </c>
      <c r="J35" s="14">
        <v>0.1</v>
      </c>
    </row>
    <row r="36" spans="1:10" x14ac:dyDescent="0.3">
      <c r="A36" s="17">
        <f>'Rate decisions'!D37</f>
        <v>44504</v>
      </c>
      <c r="B36">
        <f t="shared" si="0"/>
        <v>5.0999999999999996</v>
      </c>
      <c r="C36">
        <f>_xlfn.XLOOKUP(A36, G36:G156, J36:J156,,-1)</f>
        <v>1.4</v>
      </c>
      <c r="D36">
        <f>_xlfn.XLOOKUP(A36, 'Rate decisions'!D37:D117,'Rate decisions'!E37:E117,,-1)</f>
        <v>0.75</v>
      </c>
      <c r="G36" s="15">
        <v>44986</v>
      </c>
      <c r="H36" s="14">
        <v>10.1</v>
      </c>
      <c r="I36" s="3">
        <f t="shared" si="1"/>
        <v>10.200000000000001</v>
      </c>
      <c r="J36" s="14">
        <v>0.1</v>
      </c>
    </row>
    <row r="37" spans="1:10" x14ac:dyDescent="0.3">
      <c r="A37" s="17">
        <f>'Rate decisions'!D38</f>
        <v>44462</v>
      </c>
      <c r="B37">
        <f t="shared" si="0"/>
        <v>3.1</v>
      </c>
      <c r="C37">
        <f>_xlfn.XLOOKUP(A37, G37:G157, J37:J157,,-1)</f>
        <v>1.6</v>
      </c>
      <c r="D37">
        <f>_xlfn.XLOOKUP(A37, 'Rate decisions'!D38:D118,'Rate decisions'!E38:E118,,-1)</f>
        <v>0.75</v>
      </c>
      <c r="G37" s="15">
        <v>44958</v>
      </c>
      <c r="H37" s="14">
        <v>10.4</v>
      </c>
      <c r="I37" s="3">
        <f t="shared" si="1"/>
        <v>10.333333333333334</v>
      </c>
      <c r="J37" s="14">
        <v>0.2</v>
      </c>
    </row>
    <row r="38" spans="1:10" x14ac:dyDescent="0.3">
      <c r="A38" s="17">
        <f>'Rate decisions'!D39</f>
        <v>44413</v>
      </c>
      <c r="B38">
        <f t="shared" si="0"/>
        <v>3.2</v>
      </c>
      <c r="C38">
        <f>_xlfn.XLOOKUP(A38, G38:G158, J38:J158,,-1)</f>
        <v>3</v>
      </c>
      <c r="D38">
        <f>_xlfn.XLOOKUP(A38, 'Rate decisions'!D39:D119,'Rate decisions'!E39:E119,,-1)</f>
        <v>0.75</v>
      </c>
      <c r="G38" s="15">
        <v>44927</v>
      </c>
      <c r="H38" s="14">
        <v>10.1</v>
      </c>
      <c r="I38" s="3">
        <f t="shared" si="1"/>
        <v>10.433333333333334</v>
      </c>
      <c r="J38" s="14">
        <v>0.3</v>
      </c>
    </row>
    <row r="39" spans="1:10" x14ac:dyDescent="0.3">
      <c r="A39" s="17">
        <f>'Rate decisions'!D40</f>
        <v>44371</v>
      </c>
      <c r="B39">
        <f t="shared" si="0"/>
        <v>2.5</v>
      </c>
      <c r="C39">
        <f>_xlfn.XLOOKUP(A39, G39:G159, J39:J159,,-1)</f>
        <v>7</v>
      </c>
      <c r="D39">
        <f>_xlfn.XLOOKUP(A39, 'Rate decisions'!D40:D120,'Rate decisions'!E40:E120,,-1)</f>
        <v>0.75</v>
      </c>
      <c r="G39" s="15">
        <v>44896</v>
      </c>
      <c r="H39" s="14">
        <v>10.5</v>
      </c>
      <c r="I39" s="3">
        <f t="shared" si="1"/>
        <v>10.766666666666666</v>
      </c>
      <c r="J39" s="14">
        <v>0.4</v>
      </c>
    </row>
    <row r="40" spans="1:10" x14ac:dyDescent="0.3">
      <c r="A40" s="17">
        <f>'Rate decisions'!D41</f>
        <v>44322</v>
      </c>
      <c r="B40">
        <f t="shared" si="0"/>
        <v>2.1</v>
      </c>
      <c r="C40">
        <f>_xlfn.XLOOKUP(A40, G40:G160, J40:J160,,-1)</f>
        <v>5.3</v>
      </c>
      <c r="D40">
        <f>_xlfn.XLOOKUP(A40, 'Rate decisions'!D41:D121,'Rate decisions'!E41:E121,,-1)</f>
        <v>0.75</v>
      </c>
      <c r="G40" s="15">
        <v>44866</v>
      </c>
      <c r="H40" s="14">
        <v>10.7</v>
      </c>
      <c r="I40" s="3">
        <f t="shared" si="1"/>
        <v>10.633333333333333</v>
      </c>
      <c r="J40" s="14">
        <v>0.1</v>
      </c>
    </row>
    <row r="41" spans="1:10" x14ac:dyDescent="0.3">
      <c r="A41" s="17">
        <f>'Rate decisions'!D42</f>
        <v>44273</v>
      </c>
      <c r="B41">
        <f t="shared" si="0"/>
        <v>0.7</v>
      </c>
      <c r="C41">
        <f>_xlfn.XLOOKUP(A41, G41:G161, J41:J161,,-1)</f>
        <v>-1.1000000000000001</v>
      </c>
      <c r="D41">
        <f>_xlfn.XLOOKUP(A41, 'Rate decisions'!D42:D122,'Rate decisions'!E42:E122,,-1)</f>
        <v>0.75</v>
      </c>
      <c r="G41" s="15">
        <v>44835</v>
      </c>
      <c r="H41" s="14">
        <v>11.1</v>
      </c>
      <c r="I41" s="3">
        <f t="shared" si="1"/>
        <v>10.366666666666667</v>
      </c>
      <c r="J41" s="14">
        <v>0</v>
      </c>
    </row>
    <row r="42" spans="1:10" x14ac:dyDescent="0.3">
      <c r="A42" s="17">
        <f>'Rate decisions'!D43</f>
        <v>44231</v>
      </c>
      <c r="B42">
        <f t="shared" si="0"/>
        <v>0.4</v>
      </c>
      <c r="C42">
        <f>_xlfn.XLOOKUP(A42, G42:G162, J42:J162,,-1)</f>
        <v>-1.4</v>
      </c>
      <c r="D42">
        <f>_xlfn.XLOOKUP(A42, 'Rate decisions'!D43:D123,'Rate decisions'!E43:E123,,-1)</f>
        <v>0.75</v>
      </c>
      <c r="G42" s="15">
        <v>44805</v>
      </c>
      <c r="H42" s="14">
        <v>10.1</v>
      </c>
      <c r="I42" s="3">
        <f t="shared" si="1"/>
        <v>10.033333333333333</v>
      </c>
      <c r="J42" s="14">
        <v>0</v>
      </c>
    </row>
    <row r="43" spans="1:10" x14ac:dyDescent="0.3">
      <c r="A43" s="17">
        <f>'Rate decisions'!D44</f>
        <v>44140</v>
      </c>
      <c r="B43">
        <f t="shared" si="0"/>
        <v>0.3</v>
      </c>
      <c r="C43">
        <f>_xlfn.XLOOKUP(A43, G43:G163, J43:J163,,-1)</f>
        <v>5.4</v>
      </c>
      <c r="D43">
        <f>_xlfn.XLOOKUP(A43, 'Rate decisions'!D44:D124,'Rate decisions'!E44:E124,,-1)</f>
        <v>0.75</v>
      </c>
      <c r="G43" s="15">
        <v>44774</v>
      </c>
      <c r="H43" s="14">
        <v>9.9</v>
      </c>
      <c r="I43" s="3">
        <f t="shared" si="1"/>
        <v>9.7999999999999989</v>
      </c>
      <c r="J43" s="14">
        <v>0.1</v>
      </c>
    </row>
    <row r="44" spans="1:10" x14ac:dyDescent="0.3">
      <c r="A44" s="17">
        <f>'Rate decisions'!D45</f>
        <v>44091</v>
      </c>
      <c r="B44">
        <f t="shared" si="0"/>
        <v>0.5</v>
      </c>
      <c r="C44">
        <f>_xlfn.XLOOKUP(A44, G44:G164, J44:J164,,-1)</f>
        <v>17.100000000000001</v>
      </c>
      <c r="D44">
        <f>_xlfn.XLOOKUP(A44, 'Rate decisions'!D45:D125,'Rate decisions'!E45:E125,,-1)</f>
        <v>0.75</v>
      </c>
      <c r="G44" s="15">
        <v>44743</v>
      </c>
      <c r="H44" s="14">
        <v>10.1</v>
      </c>
      <c r="I44" s="3">
        <f t="shared" si="1"/>
        <v>9.5333333333333332</v>
      </c>
      <c r="J44" s="14">
        <v>0.4</v>
      </c>
    </row>
    <row r="45" spans="1:10" x14ac:dyDescent="0.3">
      <c r="A45" s="17">
        <f>'Rate decisions'!D46</f>
        <v>44049</v>
      </c>
      <c r="B45">
        <f t="shared" si="0"/>
        <v>0.2</v>
      </c>
      <c r="C45">
        <f>_xlfn.XLOOKUP(A45, G45:G165, J45:J165,,-1)</f>
        <v>8.6999999999999993</v>
      </c>
      <c r="D45">
        <f>_xlfn.XLOOKUP(A45, 'Rate decisions'!D46:D126,'Rate decisions'!E46:E126,,-1)</f>
        <v>0.75</v>
      </c>
      <c r="G45" s="15">
        <v>44713</v>
      </c>
      <c r="H45" s="14">
        <v>9.4</v>
      </c>
      <c r="I45" s="3">
        <f t="shared" si="1"/>
        <v>9.1666666666666661</v>
      </c>
      <c r="J45" s="14">
        <v>0.5</v>
      </c>
    </row>
    <row r="46" spans="1:10" x14ac:dyDescent="0.3">
      <c r="A46" s="17">
        <f>'Rate decisions'!D47</f>
        <v>44000</v>
      </c>
      <c r="B46">
        <f t="shared" si="0"/>
        <v>0.6</v>
      </c>
      <c r="C46">
        <f>_xlfn.XLOOKUP(A46, G46:G166, J46:J166,,-1)</f>
        <v>-19.899999999999999</v>
      </c>
      <c r="D46">
        <f>_xlfn.XLOOKUP(A46, 'Rate decisions'!D47:D127,'Rate decisions'!E47:E127,,-1)</f>
        <v>0.75</v>
      </c>
      <c r="G46" s="15">
        <v>44682</v>
      </c>
      <c r="H46" s="14">
        <v>9.1</v>
      </c>
      <c r="I46" s="3">
        <f t="shared" si="1"/>
        <v>8.3666666666666671</v>
      </c>
      <c r="J46" s="14">
        <v>0.8</v>
      </c>
    </row>
    <row r="47" spans="1:10" x14ac:dyDescent="0.3">
      <c r="A47" s="17">
        <f>'Rate decisions'!D48</f>
        <v>43958</v>
      </c>
      <c r="B47">
        <f t="shared" si="0"/>
        <v>0.5</v>
      </c>
      <c r="C47">
        <f>_xlfn.XLOOKUP(A47, G47:G167, J47:J167,,-1)</f>
        <v>-18.899999999999999</v>
      </c>
      <c r="D47">
        <f>_xlfn.XLOOKUP(A47, 'Rate decisions'!D48:D128,'Rate decisions'!E48:E128,,-1)</f>
        <v>0.75</v>
      </c>
      <c r="G47" s="15">
        <v>44652</v>
      </c>
      <c r="H47" s="14">
        <v>9</v>
      </c>
      <c r="I47" s="3">
        <f t="shared" si="1"/>
        <v>7.3999999999999995</v>
      </c>
      <c r="J47" s="14">
        <v>0.8</v>
      </c>
    </row>
    <row r="48" spans="1:10" x14ac:dyDescent="0.3">
      <c r="A48" s="17">
        <f>'Rate decisions'!D49</f>
        <v>43916</v>
      </c>
      <c r="B48">
        <f t="shared" si="0"/>
        <v>1.5</v>
      </c>
      <c r="C48">
        <f>_xlfn.XLOOKUP(A48, G48:G168, J48:J168,,-1)</f>
        <v>-2.5</v>
      </c>
      <c r="D48">
        <f>_xlfn.XLOOKUP(A48, 'Rate decisions'!D49:D129,'Rate decisions'!E49:E129,,-1)</f>
        <v>0.75</v>
      </c>
      <c r="G48" s="15">
        <v>44621</v>
      </c>
      <c r="H48" s="14">
        <v>7</v>
      </c>
      <c r="I48" s="3">
        <f t="shared" si="1"/>
        <v>6.2333333333333334</v>
      </c>
      <c r="J48" s="14">
        <v>0.9</v>
      </c>
    </row>
    <row r="49" spans="1:10" x14ac:dyDescent="0.3">
      <c r="A49" s="17">
        <f>'Rate decisions'!D50</f>
        <v>43909</v>
      </c>
      <c r="B49">
        <f t="shared" si="0"/>
        <v>1.5</v>
      </c>
      <c r="C49">
        <f>_xlfn.XLOOKUP(A49, G49:G169, J49:J169,,-1)</f>
        <v>-2.5</v>
      </c>
      <c r="D49">
        <f>_xlfn.XLOOKUP(A49, 'Rate decisions'!D50:D130,'Rate decisions'!E50:E130,,-1)</f>
        <v>0.75</v>
      </c>
      <c r="G49" s="15">
        <v>44593</v>
      </c>
      <c r="H49" s="14">
        <v>6.2</v>
      </c>
      <c r="I49" s="3">
        <f t="shared" si="1"/>
        <v>5.7</v>
      </c>
      <c r="J49" s="14">
        <v>0.7</v>
      </c>
    </row>
    <row r="50" spans="1:10" x14ac:dyDescent="0.3">
      <c r="A50" s="17">
        <f>'Rate decisions'!D51</f>
        <v>43901</v>
      </c>
      <c r="B50">
        <f t="shared" si="0"/>
        <v>1.5</v>
      </c>
      <c r="C50">
        <f>_xlfn.XLOOKUP(A50, G50:G170, J50:J170,,-1)</f>
        <v>-2.5</v>
      </c>
      <c r="D50">
        <f>_xlfn.XLOOKUP(A50, 'Rate decisions'!D51:D131,'Rate decisions'!E51:E131,,-1)</f>
        <v>0.75</v>
      </c>
      <c r="G50" s="15">
        <v>44562</v>
      </c>
      <c r="H50" s="14">
        <v>5.5</v>
      </c>
      <c r="I50" s="3">
        <f t="shared" si="1"/>
        <v>5.333333333333333</v>
      </c>
      <c r="J50" s="14">
        <v>0.9</v>
      </c>
    </row>
    <row r="51" spans="1:10" x14ac:dyDescent="0.3">
      <c r="A51" s="17">
        <f>'Rate decisions'!D52</f>
        <v>43860</v>
      </c>
      <c r="B51">
        <f t="shared" si="0"/>
        <v>1.8</v>
      </c>
      <c r="C51">
        <f>_xlfn.XLOOKUP(A51, G51:G171, J51:J171,,-1)</f>
        <v>0</v>
      </c>
      <c r="D51">
        <f>_xlfn.XLOOKUP(A51, 'Rate decisions'!D52:D132,'Rate decisions'!E52:E132,,-1)</f>
        <v>0.75</v>
      </c>
      <c r="G51" s="15">
        <v>44531</v>
      </c>
      <c r="H51" s="14">
        <v>5.4</v>
      </c>
      <c r="I51" s="3">
        <f t="shared" si="1"/>
        <v>4.8999999999999995</v>
      </c>
      <c r="J51" s="14">
        <v>1.2</v>
      </c>
    </row>
    <row r="52" spans="1:10" x14ac:dyDescent="0.3">
      <c r="A52" s="17">
        <f>'Rate decisions'!D53</f>
        <v>43818</v>
      </c>
      <c r="B52">
        <f t="shared" si="0"/>
        <v>1.3</v>
      </c>
      <c r="C52">
        <f>_xlfn.XLOOKUP(A52, G52:G172, J52:J172,,-1)</f>
        <v>0</v>
      </c>
      <c r="D52">
        <f>_xlfn.XLOOKUP(A52, 'Rate decisions'!D53:D133,'Rate decisions'!E53:E133,,-1)</f>
        <v>0.75</v>
      </c>
      <c r="G52" s="15">
        <v>44501</v>
      </c>
      <c r="H52" s="14">
        <v>5.0999999999999996</v>
      </c>
      <c r="I52" s="3">
        <f t="shared" si="1"/>
        <v>4.1333333333333337</v>
      </c>
      <c r="J52" s="14">
        <v>1.4</v>
      </c>
    </row>
    <row r="53" spans="1:10" x14ac:dyDescent="0.3">
      <c r="A53" s="17">
        <f>'Rate decisions'!D54</f>
        <v>43776</v>
      </c>
      <c r="B53">
        <f t="shared" si="0"/>
        <v>1.5</v>
      </c>
      <c r="C53">
        <f>_xlfn.XLOOKUP(A53, G53:G173, J53:J173,,-1)</f>
        <v>0.1</v>
      </c>
      <c r="D53">
        <f>_xlfn.XLOOKUP(A53, 'Rate decisions'!D54:D134,'Rate decisions'!E54:E134,,-1)</f>
        <v>0.75</v>
      </c>
      <c r="G53" s="15">
        <v>44470</v>
      </c>
      <c r="H53" s="14">
        <v>4.2</v>
      </c>
      <c r="I53" s="3">
        <f t="shared" si="1"/>
        <v>3.5</v>
      </c>
      <c r="J53" s="14">
        <v>1.5</v>
      </c>
    </row>
    <row r="54" spans="1:10" x14ac:dyDescent="0.3">
      <c r="A54" s="17">
        <f>'Rate decisions'!D55</f>
        <v>43727</v>
      </c>
      <c r="B54">
        <f t="shared" si="0"/>
        <v>1.7</v>
      </c>
      <c r="C54">
        <f>_xlfn.XLOOKUP(A54, G54:G174, J54:J174,,-1)</f>
        <v>0.7</v>
      </c>
      <c r="D54">
        <f>_xlfn.XLOOKUP(A54, 'Rate decisions'!D55:D135,'Rate decisions'!E55:E135,,-1)</f>
        <v>0.75</v>
      </c>
      <c r="G54" s="15">
        <v>44440</v>
      </c>
      <c r="H54" s="14">
        <v>3.1</v>
      </c>
      <c r="I54" s="3">
        <f t="shared" si="1"/>
        <v>2.7666666666666671</v>
      </c>
      <c r="J54" s="14">
        <v>1.6</v>
      </c>
    </row>
    <row r="55" spans="1:10" x14ac:dyDescent="0.3">
      <c r="A55" s="17">
        <f>'Rate decisions'!D56</f>
        <v>43678</v>
      </c>
      <c r="B55">
        <f t="shared" si="0"/>
        <v>1.7</v>
      </c>
      <c r="C55">
        <f>_xlfn.XLOOKUP(A55, G55:G175, J55:J175,,-1)</f>
        <v>0.8</v>
      </c>
      <c r="D55">
        <f>_xlfn.XLOOKUP(A55, 'Rate decisions'!D56:D136,'Rate decisions'!E56:E136,,-1)</f>
        <v>0.75</v>
      </c>
      <c r="G55" s="15">
        <v>44409</v>
      </c>
      <c r="H55" s="14">
        <v>3.2</v>
      </c>
      <c r="I55" s="3">
        <f t="shared" si="1"/>
        <v>2.5666666666666669</v>
      </c>
      <c r="J55" s="14">
        <v>3</v>
      </c>
    </row>
    <row r="56" spans="1:10" x14ac:dyDescent="0.3">
      <c r="A56" s="17">
        <f>'Rate decisions'!D57</f>
        <v>43636</v>
      </c>
      <c r="B56">
        <f t="shared" si="0"/>
        <v>2</v>
      </c>
      <c r="C56">
        <f>_xlfn.XLOOKUP(A56, G56:G176, J56:J176,,-1)</f>
        <v>0.2</v>
      </c>
      <c r="D56">
        <f>_xlfn.XLOOKUP(A56, 'Rate decisions'!D57:D137,'Rate decisions'!E57:E137,,-1)</f>
        <v>0.75</v>
      </c>
      <c r="G56" s="15">
        <v>44378</v>
      </c>
      <c r="H56" s="14">
        <v>2</v>
      </c>
      <c r="I56" s="3">
        <f t="shared" si="1"/>
        <v>2.1999999999999997</v>
      </c>
      <c r="J56" s="14">
        <v>5.0999999999999996</v>
      </c>
    </row>
    <row r="57" spans="1:10" x14ac:dyDescent="0.3">
      <c r="A57" s="17">
        <f>'Rate decisions'!D58</f>
        <v>43587</v>
      </c>
      <c r="B57">
        <f t="shared" si="0"/>
        <v>2</v>
      </c>
      <c r="C57">
        <f>_xlfn.XLOOKUP(A57, G57:G177, J57:J177,,-1)</f>
        <v>0.3</v>
      </c>
      <c r="D57">
        <f>_xlfn.XLOOKUP(A57, 'Rate decisions'!D58:D138,'Rate decisions'!E58:E138,,-1)</f>
        <v>0.75</v>
      </c>
      <c r="G57" s="15">
        <v>44348</v>
      </c>
      <c r="H57" s="14">
        <v>2.5</v>
      </c>
      <c r="I57" s="3">
        <f t="shared" si="1"/>
        <v>2.0333333333333332</v>
      </c>
      <c r="J57" s="14">
        <v>7</v>
      </c>
    </row>
    <row r="58" spans="1:10" x14ac:dyDescent="0.3">
      <c r="A58" s="17">
        <f>'Rate decisions'!D59</f>
        <v>43503</v>
      </c>
      <c r="B58">
        <f t="shared" si="0"/>
        <v>1.9</v>
      </c>
      <c r="C58">
        <f>_xlfn.XLOOKUP(A58, G58:G178, J58:J178,,-1)</f>
        <v>0.1</v>
      </c>
      <c r="D58">
        <f>_xlfn.XLOOKUP(A58, 'Rate decisions'!D59:D139,'Rate decisions'!E59:E139,,-1)</f>
        <v>0.75</v>
      </c>
      <c r="G58" s="15">
        <v>44317</v>
      </c>
      <c r="H58" s="14">
        <v>2.1</v>
      </c>
      <c r="I58" s="3">
        <f t="shared" si="1"/>
        <v>1.4333333333333333</v>
      </c>
      <c r="J58" s="14">
        <v>5.3</v>
      </c>
    </row>
    <row r="59" spans="1:10" x14ac:dyDescent="0.3">
      <c r="A59" s="17">
        <f>'Rate decisions'!D60</f>
        <v>43489</v>
      </c>
      <c r="B59">
        <f t="shared" si="0"/>
        <v>1.8</v>
      </c>
      <c r="C59">
        <f>_xlfn.XLOOKUP(A59, G59:G179, J59:J179,,-1)</f>
        <v>0</v>
      </c>
      <c r="D59">
        <f>_xlfn.XLOOKUP(A59, 'Rate decisions'!D60:D140,'Rate decisions'!E60:E140,,-1)</f>
        <v>0.75</v>
      </c>
      <c r="G59" s="15">
        <v>44287</v>
      </c>
      <c r="H59" s="14">
        <v>1.5</v>
      </c>
      <c r="I59" s="3">
        <f t="shared" si="1"/>
        <v>0.8666666666666667</v>
      </c>
      <c r="J59" s="14">
        <v>2.6</v>
      </c>
    </row>
    <row r="60" spans="1:10" x14ac:dyDescent="0.3">
      <c r="A60" s="17">
        <f>'Rate decisions'!D61</f>
        <v>43440</v>
      </c>
      <c r="B60">
        <f t="shared" si="0"/>
        <v>2.1</v>
      </c>
      <c r="C60">
        <f>_xlfn.XLOOKUP(A60, G60:G180, J60:J180,,-1)</f>
        <v>0.1</v>
      </c>
      <c r="D60">
        <f>_xlfn.XLOOKUP(A60, 'Rate decisions'!D61:D141,'Rate decisions'!E61:E141,,-1)</f>
        <v>0.75</v>
      </c>
      <c r="G60" s="15">
        <v>44256</v>
      </c>
      <c r="H60" s="14">
        <v>0.7</v>
      </c>
      <c r="I60" s="3">
        <f t="shared" si="1"/>
        <v>0.6</v>
      </c>
      <c r="J60" s="14">
        <v>-1.1000000000000001</v>
      </c>
    </row>
    <row r="61" spans="1:10" x14ac:dyDescent="0.3">
      <c r="A61" s="17">
        <f>'Rate decisions'!D62</f>
        <v>43391</v>
      </c>
      <c r="B61">
        <f t="shared" si="0"/>
        <v>2.4</v>
      </c>
      <c r="C61">
        <f>_xlfn.XLOOKUP(A61, G61:G181, J61:J181,,-1)</f>
        <v>0.3</v>
      </c>
      <c r="D61">
        <f>_xlfn.XLOOKUP(A61, 'Rate decisions'!D62:D142,'Rate decisions'!E62:E142,,-1)</f>
        <v>0.75</v>
      </c>
      <c r="G61" s="15">
        <v>44228</v>
      </c>
      <c r="H61" s="14">
        <v>0.4</v>
      </c>
      <c r="I61" s="3">
        <f t="shared" si="1"/>
        <v>0.56666666666666676</v>
      </c>
      <c r="J61" s="14">
        <v>-1.4</v>
      </c>
    </row>
    <row r="62" spans="1:10" x14ac:dyDescent="0.3">
      <c r="A62" s="17">
        <f>'Rate decisions'!D63</f>
        <v>43314</v>
      </c>
      <c r="B62">
        <f t="shared" si="0"/>
        <v>2.7</v>
      </c>
      <c r="C62">
        <f>_xlfn.XLOOKUP(A62, G62:G182, J62:J182,,-1)</f>
        <v>0.5</v>
      </c>
      <c r="D62">
        <f>_xlfn.XLOOKUP(A62, 'Rate decisions'!D63:D143,'Rate decisions'!E63:E143,,-1)</f>
        <v>0.75</v>
      </c>
      <c r="G62" s="15">
        <v>44197</v>
      </c>
      <c r="H62" s="14">
        <v>0.7</v>
      </c>
      <c r="I62" s="3">
        <f t="shared" si="1"/>
        <v>0.53333333333333333</v>
      </c>
      <c r="J62" s="14">
        <v>-1.4</v>
      </c>
    </row>
    <row r="63" spans="1:10" x14ac:dyDescent="0.3">
      <c r="A63" s="17">
        <f>'Rate decisions'!D64</f>
        <v>43272</v>
      </c>
      <c r="B63">
        <f t="shared" si="0"/>
        <v>2.4</v>
      </c>
      <c r="C63">
        <f>_xlfn.XLOOKUP(A63, G63:G183, J63:J183,,-1)</f>
        <v>0.2</v>
      </c>
      <c r="D63">
        <f>_xlfn.XLOOKUP(A63, 'Rate decisions'!D64:D144,'Rate decisions'!E64:E144,,-1)</f>
        <v>0.5</v>
      </c>
      <c r="G63" s="15">
        <v>44166</v>
      </c>
      <c r="H63" s="14">
        <v>0.6</v>
      </c>
      <c r="I63" s="3">
        <f t="shared" si="1"/>
        <v>0.53333333333333333</v>
      </c>
      <c r="J63" s="14">
        <v>1.5</v>
      </c>
    </row>
    <row r="64" spans="1:10" x14ac:dyDescent="0.3">
      <c r="A64" s="17">
        <f>'Rate decisions'!D65</f>
        <v>43244</v>
      </c>
      <c r="B64">
        <f t="shared" si="0"/>
        <v>2.4</v>
      </c>
      <c r="C64">
        <f>_xlfn.XLOOKUP(A64, G64:G184, J64:J184,,-1)</f>
        <v>-0.1</v>
      </c>
      <c r="D64">
        <f>_xlfn.XLOOKUP(A64, 'Rate decisions'!D65:D145,'Rate decisions'!E65:E145,,-1)</f>
        <v>0.5</v>
      </c>
      <c r="G64" s="15">
        <v>44136</v>
      </c>
      <c r="H64" s="14">
        <v>0.3</v>
      </c>
      <c r="I64" s="3">
        <f t="shared" si="1"/>
        <v>0.5</v>
      </c>
      <c r="J64" s="14">
        <v>5.4</v>
      </c>
    </row>
    <row r="65" spans="1:10" x14ac:dyDescent="0.3">
      <c r="A65" s="17">
        <f>'Rate decisions'!D66</f>
        <v>43195</v>
      </c>
      <c r="B65">
        <f t="shared" si="0"/>
        <v>2.4</v>
      </c>
      <c r="C65">
        <f>_xlfn.XLOOKUP(A65, G65:G185, J65:J185,,-1)</f>
        <v>-0.1</v>
      </c>
      <c r="D65">
        <f>_xlfn.XLOOKUP(A65, 'Rate decisions'!D66:D146,'Rate decisions'!E66:E146,,-1)</f>
        <v>0.5</v>
      </c>
      <c r="G65" s="15">
        <v>44105</v>
      </c>
      <c r="H65" s="14">
        <v>0.7</v>
      </c>
      <c r="I65" s="3">
        <f t="shared" si="1"/>
        <v>0.46666666666666662</v>
      </c>
      <c r="J65" s="14">
        <v>12.3</v>
      </c>
    </row>
    <row r="66" spans="1:10" x14ac:dyDescent="0.3">
      <c r="A66" s="17">
        <f>'Rate decisions'!D67</f>
        <v>43146</v>
      </c>
      <c r="B66">
        <f t="shared" si="0"/>
        <v>2.7</v>
      </c>
      <c r="C66">
        <f>_xlfn.XLOOKUP(A66, G66:G186, J66:J186,,-1)</f>
        <v>0.3</v>
      </c>
      <c r="D66">
        <f>_xlfn.XLOOKUP(A66, 'Rate decisions'!D67:D147,'Rate decisions'!E67:E147,,-1)</f>
        <v>0.5</v>
      </c>
      <c r="G66" s="15">
        <v>44075</v>
      </c>
      <c r="H66" s="14">
        <v>0.5</v>
      </c>
      <c r="I66" s="3">
        <f t="shared" si="1"/>
        <v>0.56666666666666665</v>
      </c>
      <c r="J66" s="14">
        <v>17.100000000000001</v>
      </c>
    </row>
    <row r="67" spans="1:10" x14ac:dyDescent="0.3">
      <c r="A67" s="17">
        <f>'Rate decisions'!D68</f>
        <v>43083</v>
      </c>
      <c r="B67">
        <f t="shared" ref="B67:B82" si="2">_xlfn.XLOOKUP(A67, G67:G187, H67:H187,,-1)</f>
        <v>3</v>
      </c>
      <c r="C67">
        <f>_xlfn.XLOOKUP(A67, G67:G187, J67:J187,,-1)</f>
        <v>0.7</v>
      </c>
      <c r="D67">
        <f>_xlfn.XLOOKUP(A67, 'Rate decisions'!D68:D148,'Rate decisions'!E68:E148,,-1)</f>
        <v>0.5</v>
      </c>
      <c r="G67" s="15">
        <v>44044</v>
      </c>
      <c r="H67" s="14">
        <v>0.2</v>
      </c>
      <c r="I67" s="3">
        <f t="shared" ref="I67:I122" si="3">AVERAGE(H67:H69)</f>
        <v>0.6</v>
      </c>
      <c r="J67" s="14">
        <v>8.6999999999999993</v>
      </c>
    </row>
    <row r="68" spans="1:10" x14ac:dyDescent="0.3">
      <c r="A68" s="17">
        <f>'Rate decisions'!D69</f>
        <v>43041</v>
      </c>
      <c r="B68">
        <f t="shared" si="2"/>
        <v>3.1</v>
      </c>
      <c r="C68">
        <f>_xlfn.XLOOKUP(A68, G68:G188, J68:J188,,-1)</f>
        <v>0.7</v>
      </c>
      <c r="D68">
        <f>_xlfn.XLOOKUP(A68, 'Rate decisions'!D69:D149,'Rate decisions'!E69:E149,,-1)</f>
        <v>0.5</v>
      </c>
      <c r="G68" s="15">
        <v>44013</v>
      </c>
      <c r="H68" s="14">
        <v>1</v>
      </c>
      <c r="I68" s="3">
        <f t="shared" si="3"/>
        <v>0.70000000000000007</v>
      </c>
      <c r="J68" s="14">
        <v>-6.9</v>
      </c>
    </row>
    <row r="69" spans="1:10" x14ac:dyDescent="0.3">
      <c r="A69" s="17">
        <f>'Rate decisions'!D70</f>
        <v>42992</v>
      </c>
      <c r="B69">
        <f t="shared" si="2"/>
        <v>3</v>
      </c>
      <c r="C69">
        <f>_xlfn.XLOOKUP(A69, G69:G189, J69:J189,,-1)</f>
        <v>0.6</v>
      </c>
      <c r="D69">
        <f>_xlfn.XLOOKUP(A69, 'Rate decisions'!D70:D150,'Rate decisions'!E70:E150,,-1)</f>
        <v>0.25</v>
      </c>
      <c r="G69" s="15">
        <v>43983</v>
      </c>
      <c r="H69" s="14">
        <v>0.6</v>
      </c>
      <c r="I69" s="3">
        <f t="shared" si="3"/>
        <v>0.63333333333333341</v>
      </c>
      <c r="J69" s="14">
        <v>-19.899999999999999</v>
      </c>
    </row>
    <row r="70" spans="1:10" x14ac:dyDescent="0.3">
      <c r="A70" s="17">
        <f>'Rate decisions'!D71</f>
        <v>42950</v>
      </c>
      <c r="B70">
        <f t="shared" si="2"/>
        <v>2.9</v>
      </c>
      <c r="C70">
        <f>_xlfn.XLOOKUP(A70, G70:G190, J70:J190,,-1)</f>
        <v>0.7</v>
      </c>
      <c r="D70">
        <f>_xlfn.XLOOKUP(A70, 'Rate decisions'!D71:D151,'Rate decisions'!E71:E151,,-1)</f>
        <v>0.25</v>
      </c>
      <c r="G70" s="15">
        <v>43952</v>
      </c>
      <c r="H70" s="14">
        <v>0.5</v>
      </c>
      <c r="I70" s="3">
        <f t="shared" si="3"/>
        <v>0.93333333333333324</v>
      </c>
      <c r="J70" s="14">
        <v>-18.899999999999999</v>
      </c>
    </row>
    <row r="71" spans="1:10" x14ac:dyDescent="0.3">
      <c r="A71" s="17">
        <f>'Rate decisions'!D72</f>
        <v>42901</v>
      </c>
      <c r="B71">
        <f t="shared" si="2"/>
        <v>2.6</v>
      </c>
      <c r="C71">
        <f>_xlfn.XLOOKUP(A71, G71:G191, J71:J191,,-1)</f>
        <v>0.9</v>
      </c>
      <c r="D71">
        <f>_xlfn.XLOOKUP(A71, 'Rate decisions'!D72:D152,'Rate decisions'!E72:E152,,-1)</f>
        <v>0.25</v>
      </c>
      <c r="G71" s="15">
        <v>43922</v>
      </c>
      <c r="H71" s="14">
        <v>0.8</v>
      </c>
      <c r="I71" s="3">
        <f t="shared" si="3"/>
        <v>1.3333333333333333</v>
      </c>
      <c r="J71" s="14">
        <v>-10.9</v>
      </c>
    </row>
    <row r="72" spans="1:10" x14ac:dyDescent="0.3">
      <c r="A72" s="17">
        <f>'Rate decisions'!D73</f>
        <v>42866</v>
      </c>
      <c r="B72">
        <f t="shared" si="2"/>
        <v>2.9</v>
      </c>
      <c r="C72">
        <f>_xlfn.XLOOKUP(A72, G72:G192, J72:J192,,-1)</f>
        <v>0.7</v>
      </c>
      <c r="D72">
        <f>_xlfn.XLOOKUP(A72, 'Rate decisions'!D73:D153,'Rate decisions'!E73:E153,,-1)</f>
        <v>0.25</v>
      </c>
      <c r="G72" s="15">
        <v>43891</v>
      </c>
      <c r="H72" s="14">
        <v>1.5</v>
      </c>
      <c r="I72" s="3">
        <f t="shared" si="3"/>
        <v>1.6666666666666667</v>
      </c>
      <c r="J72" s="14">
        <v>-2.5</v>
      </c>
    </row>
    <row r="73" spans="1:10" x14ac:dyDescent="0.3">
      <c r="A73" s="17">
        <f>'Rate decisions'!D74</f>
        <v>42810</v>
      </c>
      <c r="B73">
        <f t="shared" si="2"/>
        <v>2.2999999999999998</v>
      </c>
      <c r="C73">
        <f>_xlfn.XLOOKUP(A73, G73:G193, J73:J193,,-1)</f>
        <v>1</v>
      </c>
      <c r="D73">
        <f>_xlfn.XLOOKUP(A73, 'Rate decisions'!D74:D154,'Rate decisions'!E74:E154,,-1)</f>
        <v>0.25</v>
      </c>
      <c r="G73" s="15">
        <v>43862</v>
      </c>
      <c r="H73" s="14">
        <v>1.7</v>
      </c>
      <c r="I73" s="3">
        <f t="shared" si="3"/>
        <v>1.5999999999999999</v>
      </c>
      <c r="J73" s="14">
        <v>0.1</v>
      </c>
    </row>
    <row r="74" spans="1:10" x14ac:dyDescent="0.3">
      <c r="A74" s="17">
        <f>'Rate decisions'!D75</f>
        <v>42768</v>
      </c>
      <c r="B74">
        <f t="shared" si="2"/>
        <v>2.2999999999999998</v>
      </c>
      <c r="C74">
        <f>_xlfn.XLOOKUP(A74, G74:G194, J74:J194,,-1)</f>
        <v>1.1000000000000001</v>
      </c>
      <c r="D74">
        <f>_xlfn.XLOOKUP(A74, 'Rate decisions'!D75:D155,'Rate decisions'!E75:E155,,-1)</f>
        <v>0.25</v>
      </c>
      <c r="G74" s="15">
        <v>43831</v>
      </c>
      <c r="H74" s="14">
        <v>1.8</v>
      </c>
      <c r="I74" s="3">
        <f t="shared" si="3"/>
        <v>1.5333333333333332</v>
      </c>
      <c r="J74" s="14">
        <v>0</v>
      </c>
    </row>
    <row r="75" spans="1:10" x14ac:dyDescent="0.3">
      <c r="A75" s="17">
        <f>'Rate decisions'!D76</f>
        <v>42719</v>
      </c>
      <c r="B75">
        <f t="shared" si="2"/>
        <v>1.6</v>
      </c>
      <c r="C75">
        <f>_xlfn.XLOOKUP(A75, G75:G195, J75:J195,,-1)</f>
        <v>0.7</v>
      </c>
      <c r="D75">
        <f>_xlfn.XLOOKUP(A75, 'Rate decisions'!D76:D156,'Rate decisions'!E76:E156,,-1)</f>
        <v>0.25</v>
      </c>
      <c r="G75" s="15">
        <v>43800</v>
      </c>
      <c r="H75" s="14">
        <v>1.3</v>
      </c>
      <c r="I75" s="3">
        <f t="shared" si="3"/>
        <v>1.4333333333333333</v>
      </c>
      <c r="J75" s="14">
        <v>0</v>
      </c>
    </row>
    <row r="76" spans="1:10" x14ac:dyDescent="0.3">
      <c r="A76" s="17">
        <f>'Rate decisions'!D77</f>
        <v>42677</v>
      </c>
      <c r="B76">
        <f t="shared" si="2"/>
        <v>1.2</v>
      </c>
      <c r="C76">
        <f>_xlfn.XLOOKUP(A76, G76:G196, J76:J196,,-1)</f>
        <v>0.7</v>
      </c>
      <c r="D76">
        <f>_xlfn.XLOOKUP(A76, 'Rate decisions'!D77:D157,'Rate decisions'!E77:E157,,-1)</f>
        <v>0.25</v>
      </c>
      <c r="G76" s="15">
        <v>43770</v>
      </c>
      <c r="H76" s="14">
        <v>1.5</v>
      </c>
      <c r="I76" s="3">
        <f t="shared" si="3"/>
        <v>1.5666666666666667</v>
      </c>
      <c r="J76" s="14">
        <v>0.1</v>
      </c>
    </row>
    <row r="77" spans="1:10" x14ac:dyDescent="0.3">
      <c r="A77" s="17">
        <f>'Rate decisions'!D78</f>
        <v>42628</v>
      </c>
      <c r="B77">
        <f t="shared" si="2"/>
        <v>1</v>
      </c>
      <c r="C77">
        <f>_xlfn.XLOOKUP(A77, G77:G197, J77:J197,,-1)</f>
        <v>0.5</v>
      </c>
      <c r="D77">
        <f>_xlfn.XLOOKUP(A77, 'Rate decisions'!D78:D158,'Rate decisions'!E78:E158,,-1)</f>
        <v>0.25</v>
      </c>
      <c r="G77" s="15">
        <v>43739</v>
      </c>
      <c r="H77" s="14">
        <v>1.5</v>
      </c>
      <c r="I77" s="3">
        <f t="shared" si="3"/>
        <v>1.6333333333333335</v>
      </c>
      <c r="J77" s="14">
        <v>0.3</v>
      </c>
    </row>
    <row r="78" spans="1:10" x14ac:dyDescent="0.3">
      <c r="A78" s="17">
        <f>'Rate decisions'!D79</f>
        <v>42586</v>
      </c>
      <c r="B78">
        <f t="shared" si="2"/>
        <v>0.6</v>
      </c>
      <c r="C78">
        <f>_xlfn.XLOOKUP(A78, G78:G198, J78:J198,,-1)</f>
        <v>0.5</v>
      </c>
      <c r="D78">
        <f>_xlfn.XLOOKUP(A78, 'Rate decisions'!D79:D159,'Rate decisions'!E79:E159,,-1)</f>
        <v>0.25</v>
      </c>
      <c r="G78" s="15">
        <v>43709</v>
      </c>
      <c r="H78" s="14">
        <v>1.7</v>
      </c>
      <c r="I78" s="3">
        <f t="shared" si="3"/>
        <v>1.8333333333333333</v>
      </c>
      <c r="J78" s="14">
        <v>0.7</v>
      </c>
    </row>
    <row r="79" spans="1:10" x14ac:dyDescent="0.3">
      <c r="A79" s="17">
        <f>'Rate decisions'!D80</f>
        <v>42565</v>
      </c>
      <c r="B79">
        <f t="shared" si="2"/>
        <v>0.6</v>
      </c>
      <c r="C79">
        <f>_xlfn.XLOOKUP(A79, G79:G199, J79:J199,,-1)</f>
        <v>0.4</v>
      </c>
      <c r="D79">
        <f>_xlfn.XLOOKUP(A79, 'Rate decisions'!D80:D160,'Rate decisions'!E80:E160,,-1)</f>
        <v>0.5</v>
      </c>
      <c r="G79" s="15">
        <v>43678</v>
      </c>
      <c r="H79" s="14">
        <v>1.7</v>
      </c>
      <c r="I79" s="3">
        <f t="shared" si="3"/>
        <v>1.9333333333333333</v>
      </c>
      <c r="J79" s="14">
        <v>0.8</v>
      </c>
    </row>
    <row r="80" spans="1:10" x14ac:dyDescent="0.3">
      <c r="A80" s="17">
        <f>'Rate decisions'!D81</f>
        <v>42446</v>
      </c>
      <c r="B80">
        <f t="shared" si="2"/>
        <v>0.5</v>
      </c>
      <c r="C80">
        <f>_xlfn.XLOOKUP(A80, G80:G200, J80:J200,,-1)</f>
        <v>0.6</v>
      </c>
      <c r="D80">
        <f>_xlfn.XLOOKUP(A80, 'Rate decisions'!D81:D161,'Rate decisions'!E81:E161,,-1)</f>
        <v>0.5</v>
      </c>
      <c r="G80" s="15">
        <v>43647</v>
      </c>
      <c r="H80" s="14">
        <v>2.1</v>
      </c>
      <c r="I80" s="3">
        <f t="shared" si="3"/>
        <v>2.0333333333333332</v>
      </c>
      <c r="J80" s="14">
        <v>0.6</v>
      </c>
    </row>
    <row r="81" spans="1:10" x14ac:dyDescent="0.3">
      <c r="A81" s="17">
        <f>'Rate decisions'!D82</f>
        <v>42404</v>
      </c>
      <c r="B81">
        <f t="shared" si="2"/>
        <v>0.3</v>
      </c>
      <c r="C81">
        <f>_xlfn.XLOOKUP(A81, G81:G201, J81:J201,,-1)</f>
        <v>0.7</v>
      </c>
      <c r="D81">
        <f>_xlfn.XLOOKUP(A81, 'Rate decisions'!D82:D162,'Rate decisions'!E82:E162,,-1)</f>
        <v>0.5</v>
      </c>
      <c r="G81" s="15">
        <v>43617</v>
      </c>
      <c r="H81" s="14">
        <v>2</v>
      </c>
      <c r="I81" s="3">
        <f t="shared" si="3"/>
        <v>2.0333333333333332</v>
      </c>
      <c r="J81" s="14">
        <v>0.2</v>
      </c>
    </row>
    <row r="82" spans="1:10" x14ac:dyDescent="0.3">
      <c r="A82" s="17">
        <f>'Rate decisions'!D83</f>
        <v>42383</v>
      </c>
      <c r="B82">
        <f t="shared" si="2"/>
        <v>0.3</v>
      </c>
      <c r="C82">
        <f>_xlfn.XLOOKUP(A82, G82:G202, J82:J202,,-1)</f>
        <v>0.5</v>
      </c>
      <c r="D82">
        <f>_xlfn.XLOOKUP(A82, 'Rate decisions'!D83:D163,'Rate decisions'!E83:E163,,-1)</f>
        <v>0.5</v>
      </c>
      <c r="G82" s="15">
        <v>43586</v>
      </c>
      <c r="H82" s="14">
        <v>2</v>
      </c>
      <c r="I82" s="3">
        <f t="shared" si="3"/>
        <v>2</v>
      </c>
      <c r="J82" s="14">
        <v>0.3</v>
      </c>
    </row>
    <row r="83" spans="1:10" x14ac:dyDescent="0.3">
      <c r="G83" s="15">
        <v>43556</v>
      </c>
      <c r="H83" s="14">
        <v>2.1</v>
      </c>
      <c r="I83" s="3">
        <f t="shared" si="3"/>
        <v>1.9666666666666668</v>
      </c>
      <c r="J83" s="14">
        <v>0.5</v>
      </c>
    </row>
    <row r="84" spans="1:10" x14ac:dyDescent="0.3">
      <c r="G84" s="15">
        <v>43525</v>
      </c>
      <c r="H84" s="14">
        <v>1.9</v>
      </c>
      <c r="I84" s="3">
        <f t="shared" si="3"/>
        <v>1.8666666666666665</v>
      </c>
      <c r="J84" s="14">
        <v>0.5</v>
      </c>
    </row>
    <row r="85" spans="1:10" x14ac:dyDescent="0.3">
      <c r="B85" cm="1">
        <f t="array" ref="B85:D89">LINEST(D2:D54,B2:C54,TRUE,TRUE)</f>
        <v>-5.6914107872700886E-3</v>
      </c>
      <c r="C85">
        <v>0.13757118397070178</v>
      </c>
      <c r="D85">
        <v>2.2039236132918565</v>
      </c>
      <c r="G85" s="15">
        <v>43497</v>
      </c>
      <c r="H85" s="14">
        <v>1.9</v>
      </c>
      <c r="I85" s="3">
        <f t="shared" si="3"/>
        <v>1.9333333333333336</v>
      </c>
      <c r="J85" s="14">
        <v>0.1</v>
      </c>
    </row>
    <row r="86" spans="1:10" x14ac:dyDescent="0.3">
      <c r="B86">
        <v>5.4464777887722922E-2</v>
      </c>
      <c r="C86">
        <v>8.8375822798495415E-2</v>
      </c>
      <c r="D86">
        <v>0.43825041715047053</v>
      </c>
      <c r="G86" s="15">
        <v>43466</v>
      </c>
      <c r="H86" s="14">
        <v>1.8</v>
      </c>
      <c r="I86" s="3">
        <f t="shared" si="3"/>
        <v>2.0666666666666669</v>
      </c>
      <c r="J86" s="14">
        <v>0</v>
      </c>
    </row>
    <row r="87" spans="1:10" x14ac:dyDescent="0.3">
      <c r="B87">
        <v>4.624523774620605E-2</v>
      </c>
      <c r="C87">
        <v>1.9375744343651442</v>
      </c>
      <c r="D87" t="e">
        <v>#N/A</v>
      </c>
      <c r="G87" s="15">
        <v>43435</v>
      </c>
      <c r="H87" s="14">
        <v>2.1</v>
      </c>
      <c r="I87" s="3">
        <f t="shared" si="3"/>
        <v>2.2666666666666671</v>
      </c>
      <c r="J87" s="14">
        <v>0.1</v>
      </c>
    </row>
    <row r="88" spans="1:10" x14ac:dyDescent="0.3">
      <c r="B88">
        <v>1.2121889078940242</v>
      </c>
      <c r="C88">
        <v>50</v>
      </c>
      <c r="D88" t="e">
        <v>#N/A</v>
      </c>
      <c r="G88" s="15">
        <v>43405</v>
      </c>
      <c r="H88" s="14">
        <v>2.2999999999999998</v>
      </c>
      <c r="I88" s="3">
        <f t="shared" si="3"/>
        <v>2.3666666666666667</v>
      </c>
      <c r="J88" s="14">
        <v>0.3</v>
      </c>
    </row>
    <row r="89" spans="1:10" x14ac:dyDescent="0.3">
      <c r="B89">
        <v>9.1015863194467101</v>
      </c>
      <c r="C89">
        <v>187.70973443527041</v>
      </c>
      <c r="D89" t="e">
        <v>#N/A</v>
      </c>
      <c r="G89" s="15">
        <v>43374</v>
      </c>
      <c r="H89" s="14">
        <v>2.4</v>
      </c>
      <c r="I89" s="3">
        <f t="shared" si="3"/>
        <v>2.5</v>
      </c>
      <c r="J89" s="14">
        <v>0.3</v>
      </c>
    </row>
    <row r="90" spans="1:10" x14ac:dyDescent="0.3">
      <c r="G90" s="15">
        <v>43344</v>
      </c>
      <c r="H90" s="14">
        <v>2.4</v>
      </c>
      <c r="I90" s="3">
        <f t="shared" si="3"/>
        <v>2.5333333333333332</v>
      </c>
      <c r="J90" s="14">
        <v>0.3</v>
      </c>
    </row>
    <row r="91" spans="1:10" x14ac:dyDescent="0.3">
      <c r="G91" s="15">
        <v>43313</v>
      </c>
      <c r="H91" s="14">
        <v>2.7</v>
      </c>
      <c r="I91" s="3">
        <f t="shared" si="3"/>
        <v>2.5333333333333332</v>
      </c>
      <c r="J91" s="14">
        <v>0.5</v>
      </c>
    </row>
    <row r="92" spans="1:10" x14ac:dyDescent="0.3">
      <c r="G92" s="15">
        <v>43282</v>
      </c>
      <c r="H92" s="14">
        <v>2.5</v>
      </c>
      <c r="I92" s="3">
        <f t="shared" si="3"/>
        <v>2.4333333333333336</v>
      </c>
      <c r="J92" s="14">
        <v>0.4</v>
      </c>
    </row>
    <row r="93" spans="1:10" x14ac:dyDescent="0.3">
      <c r="G93" s="15">
        <v>43252</v>
      </c>
      <c r="H93" s="14">
        <v>2.4</v>
      </c>
      <c r="I93" s="3">
        <f t="shared" si="3"/>
        <v>2.4</v>
      </c>
      <c r="J93" s="14">
        <v>0.2</v>
      </c>
    </row>
    <row r="94" spans="1:10" x14ac:dyDescent="0.3">
      <c r="G94" s="15">
        <v>43221</v>
      </c>
      <c r="H94" s="14">
        <v>2.4</v>
      </c>
      <c r="I94" s="3">
        <f t="shared" si="3"/>
        <v>2.4333333333333331</v>
      </c>
      <c r="J94" s="14">
        <v>-0.1</v>
      </c>
    </row>
    <row r="95" spans="1:10" x14ac:dyDescent="0.3">
      <c r="G95" s="15">
        <v>43191</v>
      </c>
      <c r="H95" s="14">
        <v>2.4</v>
      </c>
      <c r="I95" s="3">
        <f t="shared" si="3"/>
        <v>2.5333333333333337</v>
      </c>
      <c r="J95" s="14">
        <v>-0.1</v>
      </c>
    </row>
    <row r="96" spans="1:10" x14ac:dyDescent="0.3">
      <c r="G96" s="15">
        <v>43160</v>
      </c>
      <c r="H96" s="14">
        <v>2.5</v>
      </c>
      <c r="I96" s="3">
        <f t="shared" si="3"/>
        <v>2.7333333333333329</v>
      </c>
      <c r="J96" s="14">
        <v>0.1</v>
      </c>
    </row>
    <row r="97" spans="7:10" x14ac:dyDescent="0.3">
      <c r="G97" s="15">
        <v>43132</v>
      </c>
      <c r="H97" s="14">
        <v>2.7</v>
      </c>
      <c r="I97" s="3">
        <f t="shared" si="3"/>
        <v>2.9</v>
      </c>
      <c r="J97" s="14">
        <v>0.3</v>
      </c>
    </row>
    <row r="98" spans="7:10" x14ac:dyDescent="0.3">
      <c r="G98" s="15">
        <v>43101</v>
      </c>
      <c r="H98" s="14">
        <v>3</v>
      </c>
      <c r="I98" s="3">
        <f t="shared" si="3"/>
        <v>3.0333333333333332</v>
      </c>
      <c r="J98" s="14">
        <v>0.5</v>
      </c>
    </row>
    <row r="99" spans="7:10" x14ac:dyDescent="0.3">
      <c r="G99" s="15">
        <v>43070</v>
      </c>
      <c r="H99" s="14">
        <v>3</v>
      </c>
      <c r="I99" s="3">
        <f t="shared" si="3"/>
        <v>3.0333333333333332</v>
      </c>
      <c r="J99" s="14">
        <v>0.7</v>
      </c>
    </row>
    <row r="100" spans="7:10" x14ac:dyDescent="0.3">
      <c r="G100" s="15">
        <v>43040</v>
      </c>
      <c r="H100" s="14">
        <v>3.1</v>
      </c>
      <c r="I100" s="3">
        <f t="shared" si="3"/>
        <v>3.0333333333333332</v>
      </c>
      <c r="J100" s="14">
        <v>0.7</v>
      </c>
    </row>
    <row r="101" spans="7:10" x14ac:dyDescent="0.3">
      <c r="G101" s="15">
        <v>43009</v>
      </c>
      <c r="H101" s="14">
        <v>3</v>
      </c>
      <c r="I101" s="3">
        <f t="shared" si="3"/>
        <v>2.9666666666666668</v>
      </c>
      <c r="J101" s="14">
        <v>0.6</v>
      </c>
    </row>
    <row r="102" spans="7:10" x14ac:dyDescent="0.3">
      <c r="G102" s="15">
        <v>42979</v>
      </c>
      <c r="H102" s="14">
        <v>3</v>
      </c>
      <c r="I102" s="3">
        <f t="shared" si="3"/>
        <v>2.8333333333333335</v>
      </c>
      <c r="J102" s="14">
        <v>0.6</v>
      </c>
    </row>
    <row r="103" spans="7:10" x14ac:dyDescent="0.3">
      <c r="G103" s="15">
        <v>42948</v>
      </c>
      <c r="H103" s="14">
        <v>2.9</v>
      </c>
      <c r="I103" s="3">
        <f t="shared" si="3"/>
        <v>2.6999999999999997</v>
      </c>
      <c r="J103" s="14">
        <v>0.7</v>
      </c>
    </row>
    <row r="104" spans="7:10" x14ac:dyDescent="0.3">
      <c r="G104" s="15">
        <v>42917</v>
      </c>
      <c r="H104" s="14">
        <v>2.6</v>
      </c>
      <c r="I104" s="3">
        <f t="shared" si="3"/>
        <v>2.6999999999999997</v>
      </c>
      <c r="J104" s="14">
        <v>0.8</v>
      </c>
    </row>
    <row r="105" spans="7:10" x14ac:dyDescent="0.3">
      <c r="G105" s="15">
        <v>42887</v>
      </c>
      <c r="H105" s="14">
        <v>2.6</v>
      </c>
      <c r="I105" s="3">
        <f t="shared" si="3"/>
        <v>2.7333333333333329</v>
      </c>
      <c r="J105" s="14">
        <v>0.9</v>
      </c>
    </row>
    <row r="106" spans="7:10" x14ac:dyDescent="0.3">
      <c r="G106" s="15">
        <v>42856</v>
      </c>
      <c r="H106" s="14">
        <v>2.9</v>
      </c>
      <c r="I106" s="3">
        <f t="shared" si="3"/>
        <v>2.6333333333333333</v>
      </c>
      <c r="J106" s="14">
        <v>0.7</v>
      </c>
    </row>
    <row r="107" spans="7:10" x14ac:dyDescent="0.3">
      <c r="G107" s="15">
        <v>42826</v>
      </c>
      <c r="H107" s="14">
        <v>2.7</v>
      </c>
      <c r="I107" s="3">
        <f t="shared" si="3"/>
        <v>2.4333333333333331</v>
      </c>
      <c r="J107" s="14">
        <v>0.7</v>
      </c>
    </row>
    <row r="108" spans="7:10" x14ac:dyDescent="0.3">
      <c r="G108" s="15">
        <v>42795</v>
      </c>
      <c r="H108" s="14">
        <v>2.2999999999999998</v>
      </c>
      <c r="I108" s="3">
        <f t="shared" si="3"/>
        <v>2.1333333333333333</v>
      </c>
      <c r="J108" s="14">
        <v>1</v>
      </c>
    </row>
    <row r="109" spans="7:10" x14ac:dyDescent="0.3">
      <c r="G109" s="15">
        <v>42767</v>
      </c>
      <c r="H109" s="14">
        <v>2.2999999999999998</v>
      </c>
      <c r="I109" s="3">
        <f t="shared" si="3"/>
        <v>1.8999999999999997</v>
      </c>
      <c r="J109" s="14">
        <v>1.1000000000000001</v>
      </c>
    </row>
    <row r="110" spans="7:10" x14ac:dyDescent="0.3">
      <c r="G110" s="15">
        <v>42736</v>
      </c>
      <c r="H110" s="14">
        <v>1.8</v>
      </c>
      <c r="I110" s="3">
        <f t="shared" si="3"/>
        <v>1.5333333333333334</v>
      </c>
      <c r="J110" s="14">
        <v>1</v>
      </c>
    </row>
    <row r="111" spans="7:10" x14ac:dyDescent="0.3">
      <c r="G111" s="15">
        <v>42705</v>
      </c>
      <c r="H111" s="14">
        <v>1.6</v>
      </c>
      <c r="I111" s="3">
        <f t="shared" si="3"/>
        <v>1.2333333333333332</v>
      </c>
      <c r="J111" s="14">
        <v>0.7</v>
      </c>
    </row>
    <row r="112" spans="7:10" x14ac:dyDescent="0.3">
      <c r="G112" s="15">
        <v>42675</v>
      </c>
      <c r="H112" s="14">
        <v>1.2</v>
      </c>
      <c r="I112" s="3">
        <f t="shared" si="3"/>
        <v>1.0333333333333334</v>
      </c>
      <c r="J112" s="14">
        <v>0.7</v>
      </c>
    </row>
    <row r="113" spans="7:10" x14ac:dyDescent="0.3">
      <c r="G113" s="15">
        <v>42644</v>
      </c>
      <c r="H113" s="14">
        <v>0.9</v>
      </c>
      <c r="I113" s="3">
        <f t="shared" si="3"/>
        <v>0.83333333333333337</v>
      </c>
      <c r="J113" s="14">
        <v>0.7</v>
      </c>
    </row>
    <row r="114" spans="7:10" x14ac:dyDescent="0.3">
      <c r="G114" s="15">
        <v>42614</v>
      </c>
      <c r="H114" s="14">
        <v>1</v>
      </c>
      <c r="I114" s="3">
        <f t="shared" si="3"/>
        <v>0.73333333333333339</v>
      </c>
      <c r="J114" s="14">
        <v>0.5</v>
      </c>
    </row>
    <row r="115" spans="7:10" x14ac:dyDescent="0.3">
      <c r="G115" s="15">
        <v>42583</v>
      </c>
      <c r="H115" s="14">
        <v>0.6</v>
      </c>
      <c r="I115" s="3">
        <f t="shared" si="3"/>
        <v>0.56666666666666665</v>
      </c>
      <c r="J115" s="14">
        <v>0.5</v>
      </c>
    </row>
    <row r="116" spans="7:10" x14ac:dyDescent="0.3">
      <c r="G116" s="15">
        <v>42552</v>
      </c>
      <c r="H116" s="14">
        <v>0.6</v>
      </c>
      <c r="I116" s="3">
        <f t="shared" si="3"/>
        <v>0.46666666666666673</v>
      </c>
      <c r="J116" s="14">
        <v>0.4</v>
      </c>
    </row>
    <row r="117" spans="7:10" x14ac:dyDescent="0.3">
      <c r="G117" s="15">
        <v>42522</v>
      </c>
      <c r="H117" s="14">
        <v>0.5</v>
      </c>
      <c r="I117" s="3">
        <f t="shared" si="3"/>
        <v>0.3666666666666667</v>
      </c>
      <c r="J117" s="14">
        <v>0.8</v>
      </c>
    </row>
    <row r="118" spans="7:10" x14ac:dyDescent="0.3">
      <c r="G118" s="15">
        <v>42491</v>
      </c>
      <c r="H118" s="14">
        <v>0.3</v>
      </c>
      <c r="I118" s="3">
        <f t="shared" si="3"/>
        <v>0.3666666666666667</v>
      </c>
      <c r="J118" s="14">
        <v>0.7</v>
      </c>
    </row>
    <row r="119" spans="7:10" x14ac:dyDescent="0.3">
      <c r="G119" s="15">
        <v>42461</v>
      </c>
      <c r="H119" s="14">
        <v>0.3</v>
      </c>
      <c r="I119" s="3">
        <f t="shared" si="3"/>
        <v>0.3666666666666667</v>
      </c>
      <c r="J119" s="14">
        <v>0.9</v>
      </c>
    </row>
    <row r="120" spans="7:10" x14ac:dyDescent="0.3">
      <c r="G120" s="15">
        <v>42430</v>
      </c>
      <c r="H120" s="14">
        <v>0.5</v>
      </c>
      <c r="I120" s="3">
        <f t="shared" si="3"/>
        <v>0.3666666666666667</v>
      </c>
      <c r="J120" s="14">
        <v>0.6</v>
      </c>
    </row>
    <row r="121" spans="7:10" x14ac:dyDescent="0.3">
      <c r="G121" s="15">
        <v>42401</v>
      </c>
      <c r="H121" s="14">
        <v>0.3</v>
      </c>
      <c r="I121" s="3">
        <f t="shared" si="3"/>
        <v>1.2</v>
      </c>
      <c r="J121" s="14">
        <v>0.7</v>
      </c>
    </row>
    <row r="122" spans="7:10" x14ac:dyDescent="0.3">
      <c r="G122" s="15">
        <v>42370</v>
      </c>
      <c r="H122" s="14">
        <v>0.3</v>
      </c>
      <c r="I122" s="3">
        <f t="shared" si="3"/>
        <v>1.65</v>
      </c>
      <c r="J122" s="14">
        <v>0.5</v>
      </c>
    </row>
    <row r="123" spans="7:10" x14ac:dyDescent="0.3">
      <c r="H123" s="14">
        <v>3</v>
      </c>
      <c r="I123" s="3">
        <v>3.39516612719531</v>
      </c>
      <c r="J123" s="14">
        <v>0.5</v>
      </c>
    </row>
    <row r="124" spans="7:10" x14ac:dyDescent="0.3">
      <c r="I124" s="3">
        <v>3.2925535409039464</v>
      </c>
    </row>
    <row r="125" spans="7:10" x14ac:dyDescent="0.3">
      <c r="I125" s="3">
        <v>4.4912471540499928</v>
      </c>
    </row>
  </sheetData>
  <sortState xmlns:xlrd2="http://schemas.microsoft.com/office/spreadsheetml/2017/richdata2" ref="G2:J149">
    <sortCondition descending="1" ref="G1:G14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B679-AB22-4F05-9502-2F630433C4C5}">
  <dimension ref="A1:B123"/>
  <sheetViews>
    <sheetView zoomScale="85" workbookViewId="0">
      <selection activeCell="B1" sqref="B1"/>
    </sheetView>
  </sheetViews>
  <sheetFormatPr baseColWidth="10" defaultRowHeight="14.4" x14ac:dyDescent="0.3"/>
  <cols>
    <col min="3" max="3" width="25.6640625" customWidth="1"/>
    <col min="4" max="4" width="14.88671875" customWidth="1"/>
    <col min="5" max="5" width="24.44140625" customWidth="1"/>
  </cols>
  <sheetData>
    <row r="1" spans="1:2" ht="21" customHeight="1" x14ac:dyDescent="0.3">
      <c r="A1" t="s">
        <v>131</v>
      </c>
      <c r="B1" t="s">
        <v>132</v>
      </c>
    </row>
    <row r="2" spans="1:2" x14ac:dyDescent="0.3">
      <c r="A2" s="15">
        <v>42370</v>
      </c>
      <c r="B2" s="14">
        <v>0.3</v>
      </c>
    </row>
    <row r="3" spans="1:2" x14ac:dyDescent="0.3">
      <c r="A3" s="15">
        <v>42401</v>
      </c>
      <c r="B3" s="14">
        <v>0.3</v>
      </c>
    </row>
    <row r="4" spans="1:2" x14ac:dyDescent="0.3">
      <c r="A4" s="15">
        <v>42430</v>
      </c>
      <c r="B4" s="14">
        <v>0.5</v>
      </c>
    </row>
    <row r="5" spans="1:2" x14ac:dyDescent="0.3">
      <c r="A5" s="15">
        <v>42461</v>
      </c>
      <c r="B5" s="14">
        <v>0.3</v>
      </c>
    </row>
    <row r="6" spans="1:2" x14ac:dyDescent="0.3">
      <c r="A6" s="15">
        <v>42491</v>
      </c>
      <c r="B6" s="14">
        <v>0.3</v>
      </c>
    </row>
    <row r="7" spans="1:2" x14ac:dyDescent="0.3">
      <c r="A7" s="15">
        <v>42522</v>
      </c>
      <c r="B7" s="14">
        <v>0.5</v>
      </c>
    </row>
    <row r="8" spans="1:2" x14ac:dyDescent="0.3">
      <c r="A8" s="15">
        <v>42552</v>
      </c>
      <c r="B8" s="14">
        <v>0.6</v>
      </c>
    </row>
    <row r="9" spans="1:2" x14ac:dyDescent="0.3">
      <c r="A9" s="15">
        <v>42583</v>
      </c>
      <c r="B9" s="14">
        <v>0.6</v>
      </c>
    </row>
    <row r="10" spans="1:2" x14ac:dyDescent="0.3">
      <c r="A10" s="15">
        <v>42614</v>
      </c>
      <c r="B10" s="14">
        <v>1</v>
      </c>
    </row>
    <row r="11" spans="1:2" x14ac:dyDescent="0.3">
      <c r="A11" s="15">
        <v>42644</v>
      </c>
      <c r="B11" s="14">
        <v>0.9</v>
      </c>
    </row>
    <row r="12" spans="1:2" x14ac:dyDescent="0.3">
      <c r="A12" s="15">
        <v>42675</v>
      </c>
      <c r="B12" s="14">
        <v>1.2</v>
      </c>
    </row>
    <row r="13" spans="1:2" x14ac:dyDescent="0.3">
      <c r="A13" s="15">
        <v>42705</v>
      </c>
      <c r="B13" s="14">
        <v>1.6</v>
      </c>
    </row>
    <row r="14" spans="1:2" x14ac:dyDescent="0.3">
      <c r="A14" s="15">
        <v>42736</v>
      </c>
      <c r="B14" s="14">
        <v>1.8</v>
      </c>
    </row>
    <row r="15" spans="1:2" x14ac:dyDescent="0.3">
      <c r="A15" s="15">
        <v>42767</v>
      </c>
      <c r="B15" s="14">
        <v>2.2999999999999998</v>
      </c>
    </row>
    <row r="16" spans="1:2" x14ac:dyDescent="0.3">
      <c r="A16" s="15">
        <v>42795</v>
      </c>
      <c r="B16" s="14">
        <v>2.2999999999999998</v>
      </c>
    </row>
    <row r="17" spans="1:2" x14ac:dyDescent="0.3">
      <c r="A17" s="15">
        <v>42826</v>
      </c>
      <c r="B17" s="14">
        <v>2.7</v>
      </c>
    </row>
    <row r="18" spans="1:2" x14ac:dyDescent="0.3">
      <c r="A18" s="15">
        <v>42856</v>
      </c>
      <c r="B18" s="14">
        <v>2.9</v>
      </c>
    </row>
    <row r="19" spans="1:2" x14ac:dyDescent="0.3">
      <c r="A19" s="15">
        <v>42887</v>
      </c>
      <c r="B19" s="14">
        <v>2.6</v>
      </c>
    </row>
    <row r="20" spans="1:2" x14ac:dyDescent="0.3">
      <c r="A20" s="15">
        <v>42917</v>
      </c>
      <c r="B20" s="14">
        <v>2.6</v>
      </c>
    </row>
    <row r="21" spans="1:2" x14ac:dyDescent="0.3">
      <c r="A21" s="15">
        <v>42948</v>
      </c>
      <c r="B21" s="14">
        <v>2.9</v>
      </c>
    </row>
    <row r="22" spans="1:2" x14ac:dyDescent="0.3">
      <c r="A22" s="15">
        <v>42979</v>
      </c>
      <c r="B22" s="14">
        <v>3</v>
      </c>
    </row>
    <row r="23" spans="1:2" x14ac:dyDescent="0.3">
      <c r="A23" s="15">
        <v>43009</v>
      </c>
      <c r="B23" s="14">
        <v>3</v>
      </c>
    </row>
    <row r="24" spans="1:2" x14ac:dyDescent="0.3">
      <c r="A24" s="15">
        <v>43040</v>
      </c>
      <c r="B24" s="14">
        <v>3.1</v>
      </c>
    </row>
    <row r="25" spans="1:2" x14ac:dyDescent="0.3">
      <c r="A25" s="15">
        <v>43070</v>
      </c>
      <c r="B25" s="14">
        <v>3</v>
      </c>
    </row>
    <row r="26" spans="1:2" x14ac:dyDescent="0.3">
      <c r="A26" s="15">
        <v>43101</v>
      </c>
      <c r="B26" s="14">
        <v>3</v>
      </c>
    </row>
    <row r="27" spans="1:2" x14ac:dyDescent="0.3">
      <c r="A27" s="15">
        <v>43132</v>
      </c>
      <c r="B27" s="14">
        <v>2.7</v>
      </c>
    </row>
    <row r="28" spans="1:2" x14ac:dyDescent="0.3">
      <c r="A28" s="15">
        <v>43160</v>
      </c>
      <c r="B28" s="14">
        <v>2.5</v>
      </c>
    </row>
    <row r="29" spans="1:2" x14ac:dyDescent="0.3">
      <c r="A29" s="15">
        <v>43191</v>
      </c>
      <c r="B29" s="14">
        <v>2.4</v>
      </c>
    </row>
    <row r="30" spans="1:2" x14ac:dyDescent="0.3">
      <c r="A30" s="15">
        <v>43221</v>
      </c>
      <c r="B30" s="14">
        <v>2.4</v>
      </c>
    </row>
    <row r="31" spans="1:2" x14ac:dyDescent="0.3">
      <c r="A31" s="15">
        <v>43252</v>
      </c>
      <c r="B31" s="14">
        <v>2.4</v>
      </c>
    </row>
    <row r="32" spans="1:2" x14ac:dyDescent="0.3">
      <c r="A32" s="15">
        <v>43282</v>
      </c>
      <c r="B32" s="14">
        <v>2.5</v>
      </c>
    </row>
    <row r="33" spans="1:2" x14ac:dyDescent="0.3">
      <c r="A33" s="15">
        <v>43313</v>
      </c>
      <c r="B33" s="14">
        <v>2.7</v>
      </c>
    </row>
    <row r="34" spans="1:2" x14ac:dyDescent="0.3">
      <c r="A34" s="15">
        <v>43344</v>
      </c>
      <c r="B34" s="14">
        <v>2.4</v>
      </c>
    </row>
    <row r="35" spans="1:2" x14ac:dyDescent="0.3">
      <c r="A35" s="15">
        <v>43374</v>
      </c>
      <c r="B35" s="14">
        <v>2.4</v>
      </c>
    </row>
    <row r="36" spans="1:2" x14ac:dyDescent="0.3">
      <c r="A36" s="15">
        <v>43405</v>
      </c>
      <c r="B36" s="14">
        <v>2.2999999999999998</v>
      </c>
    </row>
    <row r="37" spans="1:2" x14ac:dyDescent="0.3">
      <c r="A37" s="15">
        <v>43435</v>
      </c>
      <c r="B37" s="14">
        <v>2.1</v>
      </c>
    </row>
    <row r="38" spans="1:2" x14ac:dyDescent="0.3">
      <c r="A38" s="15">
        <v>43466</v>
      </c>
      <c r="B38" s="14">
        <v>1.8</v>
      </c>
    </row>
    <row r="39" spans="1:2" x14ac:dyDescent="0.3">
      <c r="A39" s="15">
        <v>43497</v>
      </c>
      <c r="B39" s="14">
        <v>1.9</v>
      </c>
    </row>
    <row r="40" spans="1:2" x14ac:dyDescent="0.3">
      <c r="A40" s="15">
        <v>43525</v>
      </c>
      <c r="B40" s="14">
        <v>1.9</v>
      </c>
    </row>
    <row r="41" spans="1:2" x14ac:dyDescent="0.3">
      <c r="A41" s="15">
        <v>43556</v>
      </c>
      <c r="B41" s="14">
        <v>2.1</v>
      </c>
    </row>
    <row r="42" spans="1:2" x14ac:dyDescent="0.3">
      <c r="A42" s="15">
        <v>43586</v>
      </c>
      <c r="B42" s="14">
        <v>2</v>
      </c>
    </row>
    <row r="43" spans="1:2" x14ac:dyDescent="0.3">
      <c r="A43" s="15">
        <v>43617</v>
      </c>
      <c r="B43" s="14">
        <v>2</v>
      </c>
    </row>
    <row r="44" spans="1:2" x14ac:dyDescent="0.3">
      <c r="A44" s="15">
        <v>43647</v>
      </c>
      <c r="B44" s="14">
        <v>2.1</v>
      </c>
    </row>
    <row r="45" spans="1:2" x14ac:dyDescent="0.3">
      <c r="A45" s="15">
        <v>43678</v>
      </c>
      <c r="B45" s="14">
        <v>1.7</v>
      </c>
    </row>
    <row r="46" spans="1:2" x14ac:dyDescent="0.3">
      <c r="A46" s="15">
        <v>43709</v>
      </c>
      <c r="B46" s="14">
        <v>1.7</v>
      </c>
    </row>
    <row r="47" spans="1:2" x14ac:dyDescent="0.3">
      <c r="A47" s="15">
        <v>43739</v>
      </c>
      <c r="B47" s="14">
        <v>1.5</v>
      </c>
    </row>
    <row r="48" spans="1:2" x14ac:dyDescent="0.3">
      <c r="A48" s="15">
        <v>43770</v>
      </c>
      <c r="B48" s="14">
        <v>1.5</v>
      </c>
    </row>
    <row r="49" spans="1:2" x14ac:dyDescent="0.3">
      <c r="A49" s="15">
        <v>43800</v>
      </c>
      <c r="B49" s="14">
        <v>1.3</v>
      </c>
    </row>
    <row r="50" spans="1:2" x14ac:dyDescent="0.3">
      <c r="A50" s="15">
        <v>43831</v>
      </c>
      <c r="B50" s="14">
        <v>1.8</v>
      </c>
    </row>
    <row r="51" spans="1:2" x14ac:dyDescent="0.3">
      <c r="A51" s="15">
        <v>43862</v>
      </c>
      <c r="B51" s="14">
        <v>1.7</v>
      </c>
    </row>
    <row r="52" spans="1:2" x14ac:dyDescent="0.3">
      <c r="A52" s="15">
        <v>43891</v>
      </c>
      <c r="B52" s="14">
        <v>1.5</v>
      </c>
    </row>
    <row r="53" spans="1:2" x14ac:dyDescent="0.3">
      <c r="A53" s="15">
        <v>43922</v>
      </c>
      <c r="B53" s="14">
        <v>0.8</v>
      </c>
    </row>
    <row r="54" spans="1:2" x14ac:dyDescent="0.3">
      <c r="A54" s="15">
        <v>43952</v>
      </c>
      <c r="B54" s="14">
        <v>0.5</v>
      </c>
    </row>
    <row r="55" spans="1:2" x14ac:dyDescent="0.3">
      <c r="A55" s="15">
        <v>43983</v>
      </c>
      <c r="B55" s="14">
        <v>0.6</v>
      </c>
    </row>
    <row r="56" spans="1:2" x14ac:dyDescent="0.3">
      <c r="A56" s="15">
        <v>44013</v>
      </c>
      <c r="B56" s="14">
        <v>1</v>
      </c>
    </row>
    <row r="57" spans="1:2" x14ac:dyDescent="0.3">
      <c r="A57" s="15">
        <v>44044</v>
      </c>
      <c r="B57" s="14">
        <v>0.2</v>
      </c>
    </row>
    <row r="58" spans="1:2" x14ac:dyDescent="0.3">
      <c r="A58" s="15">
        <v>44075</v>
      </c>
      <c r="B58" s="14">
        <v>0.5</v>
      </c>
    </row>
    <row r="59" spans="1:2" x14ac:dyDescent="0.3">
      <c r="A59" s="15">
        <v>44105</v>
      </c>
      <c r="B59" s="14">
        <v>0.7</v>
      </c>
    </row>
    <row r="60" spans="1:2" x14ac:dyDescent="0.3">
      <c r="A60" s="15">
        <v>44136</v>
      </c>
      <c r="B60" s="14">
        <v>0.3</v>
      </c>
    </row>
    <row r="61" spans="1:2" x14ac:dyDescent="0.3">
      <c r="A61" s="15">
        <v>44166</v>
      </c>
      <c r="B61" s="14">
        <v>0.6</v>
      </c>
    </row>
    <row r="62" spans="1:2" x14ac:dyDescent="0.3">
      <c r="A62" s="15">
        <v>44197</v>
      </c>
      <c r="B62" s="14">
        <v>0.7</v>
      </c>
    </row>
    <row r="63" spans="1:2" x14ac:dyDescent="0.3">
      <c r="A63" s="15">
        <v>44228</v>
      </c>
      <c r="B63" s="14">
        <v>0.4</v>
      </c>
    </row>
    <row r="64" spans="1:2" x14ac:dyDescent="0.3">
      <c r="A64" s="15">
        <v>44256</v>
      </c>
      <c r="B64" s="14">
        <v>0.7</v>
      </c>
    </row>
    <row r="65" spans="1:2" x14ac:dyDescent="0.3">
      <c r="A65" s="15">
        <v>44287</v>
      </c>
      <c r="B65" s="14">
        <v>1.5</v>
      </c>
    </row>
    <row r="66" spans="1:2" x14ac:dyDescent="0.3">
      <c r="A66" s="15">
        <v>44317</v>
      </c>
      <c r="B66" s="14">
        <v>2.1</v>
      </c>
    </row>
    <row r="67" spans="1:2" x14ac:dyDescent="0.3">
      <c r="A67" s="15">
        <v>44348</v>
      </c>
      <c r="B67" s="14">
        <v>2.5</v>
      </c>
    </row>
    <row r="68" spans="1:2" x14ac:dyDescent="0.3">
      <c r="A68" s="15">
        <v>44378</v>
      </c>
      <c r="B68" s="14">
        <v>2</v>
      </c>
    </row>
    <row r="69" spans="1:2" x14ac:dyDescent="0.3">
      <c r="A69" s="15">
        <v>44409</v>
      </c>
      <c r="B69" s="14">
        <v>3.2</v>
      </c>
    </row>
    <row r="70" spans="1:2" x14ac:dyDescent="0.3">
      <c r="A70" s="15">
        <v>44440</v>
      </c>
      <c r="B70" s="14">
        <v>3.1</v>
      </c>
    </row>
    <row r="71" spans="1:2" x14ac:dyDescent="0.3">
      <c r="A71" s="15">
        <v>44470</v>
      </c>
      <c r="B71" s="14">
        <v>4.2</v>
      </c>
    </row>
    <row r="72" spans="1:2" x14ac:dyDescent="0.3">
      <c r="A72" s="15">
        <v>44501</v>
      </c>
      <c r="B72" s="14">
        <v>5.0999999999999996</v>
      </c>
    </row>
    <row r="73" spans="1:2" x14ac:dyDescent="0.3">
      <c r="A73" s="15">
        <v>44531</v>
      </c>
      <c r="B73" s="14">
        <v>5.4</v>
      </c>
    </row>
    <row r="74" spans="1:2" x14ac:dyDescent="0.3">
      <c r="A74" s="15">
        <v>44562</v>
      </c>
      <c r="B74" s="14">
        <v>5.5</v>
      </c>
    </row>
    <row r="75" spans="1:2" x14ac:dyDescent="0.3">
      <c r="A75" s="15">
        <v>44593</v>
      </c>
      <c r="B75" s="14">
        <v>6.2</v>
      </c>
    </row>
    <row r="76" spans="1:2" x14ac:dyDescent="0.3">
      <c r="A76" s="15">
        <v>44621</v>
      </c>
      <c r="B76" s="14">
        <v>7</v>
      </c>
    </row>
    <row r="77" spans="1:2" x14ac:dyDescent="0.3">
      <c r="A77" s="15">
        <v>44652</v>
      </c>
      <c r="B77" s="14">
        <v>9</v>
      </c>
    </row>
    <row r="78" spans="1:2" x14ac:dyDescent="0.3">
      <c r="A78" s="15">
        <v>44682</v>
      </c>
      <c r="B78" s="14">
        <v>9.1</v>
      </c>
    </row>
    <row r="79" spans="1:2" x14ac:dyDescent="0.3">
      <c r="A79" s="15">
        <v>44713</v>
      </c>
      <c r="B79" s="14">
        <v>9.4</v>
      </c>
    </row>
    <row r="80" spans="1:2" x14ac:dyDescent="0.3">
      <c r="A80" s="15">
        <v>44743</v>
      </c>
      <c r="B80" s="14">
        <v>10.1</v>
      </c>
    </row>
    <row r="81" spans="1:2" x14ac:dyDescent="0.3">
      <c r="A81" s="15">
        <v>44774</v>
      </c>
      <c r="B81" s="14">
        <v>9.9</v>
      </c>
    </row>
    <row r="82" spans="1:2" x14ac:dyDescent="0.3">
      <c r="A82" s="15">
        <v>44805</v>
      </c>
      <c r="B82" s="14">
        <v>10.1</v>
      </c>
    </row>
    <row r="83" spans="1:2" x14ac:dyDescent="0.3">
      <c r="A83" s="15">
        <v>44835</v>
      </c>
      <c r="B83" s="14">
        <v>11.1</v>
      </c>
    </row>
    <row r="84" spans="1:2" x14ac:dyDescent="0.3">
      <c r="A84" s="15">
        <v>44866</v>
      </c>
      <c r="B84" s="14">
        <v>10.7</v>
      </c>
    </row>
    <row r="85" spans="1:2" x14ac:dyDescent="0.3">
      <c r="A85" s="15">
        <v>44896</v>
      </c>
      <c r="B85" s="14">
        <v>10.5</v>
      </c>
    </row>
    <row r="86" spans="1:2" x14ac:dyDescent="0.3">
      <c r="A86" s="15">
        <v>44927</v>
      </c>
      <c r="B86" s="14">
        <v>10.1</v>
      </c>
    </row>
    <row r="87" spans="1:2" x14ac:dyDescent="0.3">
      <c r="A87" s="15">
        <v>44958</v>
      </c>
      <c r="B87" s="14">
        <v>10.4</v>
      </c>
    </row>
    <row r="88" spans="1:2" x14ac:dyDescent="0.3">
      <c r="A88" s="15">
        <v>44986</v>
      </c>
      <c r="B88" s="14">
        <v>10.1</v>
      </c>
    </row>
    <row r="89" spans="1:2" x14ac:dyDescent="0.3">
      <c r="A89" s="15">
        <v>45017</v>
      </c>
      <c r="B89" s="14">
        <v>8.6999999999999993</v>
      </c>
    </row>
    <row r="90" spans="1:2" x14ac:dyDescent="0.3">
      <c r="A90" s="15">
        <v>45047</v>
      </c>
      <c r="B90" s="14">
        <v>8.6999999999999993</v>
      </c>
    </row>
    <row r="91" spans="1:2" x14ac:dyDescent="0.3">
      <c r="A91" s="15">
        <v>45078</v>
      </c>
      <c r="B91" s="14">
        <v>7.9</v>
      </c>
    </row>
    <row r="92" spans="1:2" x14ac:dyDescent="0.3">
      <c r="A92" s="15">
        <v>45108</v>
      </c>
      <c r="B92" s="14">
        <v>6.8</v>
      </c>
    </row>
    <row r="93" spans="1:2" x14ac:dyDescent="0.3">
      <c r="A93" s="15">
        <v>45139</v>
      </c>
      <c r="B93" s="14">
        <v>6.7</v>
      </c>
    </row>
    <row r="94" spans="1:2" x14ac:dyDescent="0.3">
      <c r="A94" s="15">
        <v>45170</v>
      </c>
      <c r="B94" s="14">
        <v>6.7</v>
      </c>
    </row>
    <row r="95" spans="1:2" x14ac:dyDescent="0.3">
      <c r="A95" s="15">
        <v>45200</v>
      </c>
      <c r="B95" s="14">
        <v>4.5999999999999996</v>
      </c>
    </row>
    <row r="96" spans="1:2" x14ac:dyDescent="0.3">
      <c r="A96" s="15">
        <v>45231</v>
      </c>
      <c r="B96" s="14">
        <v>3.9</v>
      </c>
    </row>
    <row r="97" spans="1:2" x14ac:dyDescent="0.3">
      <c r="A97" s="15">
        <v>45261</v>
      </c>
      <c r="B97" s="14">
        <v>4</v>
      </c>
    </row>
    <row r="98" spans="1:2" x14ac:dyDescent="0.3">
      <c r="A98" s="15">
        <v>45292</v>
      </c>
      <c r="B98" s="14">
        <v>4</v>
      </c>
    </row>
    <row r="99" spans="1:2" x14ac:dyDescent="0.3">
      <c r="A99" s="15">
        <v>45323</v>
      </c>
      <c r="B99" s="14">
        <v>3.4</v>
      </c>
    </row>
    <row r="100" spans="1:2" x14ac:dyDescent="0.3">
      <c r="A100" s="15">
        <v>45352</v>
      </c>
      <c r="B100" s="14">
        <v>3.2</v>
      </c>
    </row>
    <row r="101" spans="1:2" x14ac:dyDescent="0.3">
      <c r="A101" s="15">
        <v>45383</v>
      </c>
      <c r="B101" s="14">
        <v>2.2999999999999998</v>
      </c>
    </row>
    <row r="102" spans="1:2" x14ac:dyDescent="0.3">
      <c r="A102" s="15">
        <v>45413</v>
      </c>
      <c r="B102" s="14">
        <v>2</v>
      </c>
    </row>
    <row r="103" spans="1:2" x14ac:dyDescent="0.3">
      <c r="A103" s="15">
        <v>45444</v>
      </c>
      <c r="B103" s="14">
        <v>2</v>
      </c>
    </row>
    <row r="104" spans="1:2" x14ac:dyDescent="0.3">
      <c r="A104" s="15">
        <v>45474</v>
      </c>
      <c r="B104" s="14">
        <v>2.2000000000000002</v>
      </c>
    </row>
    <row r="105" spans="1:2" x14ac:dyDescent="0.3">
      <c r="A105" s="15">
        <v>45505</v>
      </c>
      <c r="B105" s="14">
        <v>2.2000000000000002</v>
      </c>
    </row>
    <row r="106" spans="1:2" x14ac:dyDescent="0.3">
      <c r="A106" s="15">
        <v>45536</v>
      </c>
      <c r="B106" s="14">
        <v>1.7</v>
      </c>
    </row>
    <row r="107" spans="1:2" x14ac:dyDescent="0.3">
      <c r="A107" s="15">
        <v>45566</v>
      </c>
      <c r="B107" s="14">
        <v>2.2999999999999998</v>
      </c>
    </row>
    <row r="108" spans="1:2" x14ac:dyDescent="0.3">
      <c r="A108" s="15">
        <v>45597</v>
      </c>
      <c r="B108" s="14">
        <v>2.6</v>
      </c>
    </row>
    <row r="109" spans="1:2" x14ac:dyDescent="0.3">
      <c r="A109" s="15">
        <v>45627</v>
      </c>
      <c r="B109" s="14">
        <v>2.5</v>
      </c>
    </row>
    <row r="110" spans="1:2" x14ac:dyDescent="0.3">
      <c r="A110" s="15">
        <v>45658</v>
      </c>
      <c r="B110" s="14">
        <v>3</v>
      </c>
    </row>
    <row r="111" spans="1:2" x14ac:dyDescent="0.3">
      <c r="A111" s="15">
        <v>45689</v>
      </c>
      <c r="B111" s="14">
        <v>2.8</v>
      </c>
    </row>
    <row r="112" spans="1:2" x14ac:dyDescent="0.3">
      <c r="A112" s="15">
        <v>45717</v>
      </c>
      <c r="B112" s="14">
        <v>2.6</v>
      </c>
    </row>
    <row r="113" spans="1:2" x14ac:dyDescent="0.3">
      <c r="A113" s="15">
        <v>45748</v>
      </c>
      <c r="B113" s="14">
        <v>3.5</v>
      </c>
    </row>
    <row r="114" spans="1:2" x14ac:dyDescent="0.3">
      <c r="A114" s="15">
        <v>45778</v>
      </c>
      <c r="B114" s="14">
        <v>3.4</v>
      </c>
    </row>
    <row r="115" spans="1:2" x14ac:dyDescent="0.3">
      <c r="A115" s="15">
        <v>45809</v>
      </c>
      <c r="B115" s="14">
        <v>3.6</v>
      </c>
    </row>
    <row r="116" spans="1:2" x14ac:dyDescent="0.3">
      <c r="A116" s="15">
        <v>45839</v>
      </c>
      <c r="B116" s="14">
        <v>3.8</v>
      </c>
    </row>
    <row r="117" spans="1:2" x14ac:dyDescent="0.3">
      <c r="A117" s="15">
        <v>45870</v>
      </c>
      <c r="B117" s="14">
        <v>3.8</v>
      </c>
    </row>
    <row r="118" spans="1:2" x14ac:dyDescent="0.3">
      <c r="A118" s="15">
        <v>45901</v>
      </c>
      <c r="B118" s="14">
        <v>3.8</v>
      </c>
    </row>
    <row r="119" spans="1:2" x14ac:dyDescent="0.3">
      <c r="A119" s="15">
        <v>45931</v>
      </c>
      <c r="B119" s="14">
        <v>3.6</v>
      </c>
    </row>
    <row r="120" spans="1:2" x14ac:dyDescent="0.3">
      <c r="A120" s="15">
        <v>45962</v>
      </c>
      <c r="B120" s="14">
        <v>3.2</v>
      </c>
    </row>
    <row r="121" spans="1:2" x14ac:dyDescent="0.3">
      <c r="A121" s="15">
        <v>45992</v>
      </c>
      <c r="B121" s="14">
        <v>3.4</v>
      </c>
    </row>
    <row r="122" spans="1:2" x14ac:dyDescent="0.3">
      <c r="A122" s="15">
        <v>46023</v>
      </c>
      <c r="B122" s="14">
        <v>3</v>
      </c>
    </row>
    <row r="123" spans="1:2" x14ac:dyDescent="0.3">
      <c r="B123" s="14">
        <v>3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F1CE-D8CF-4BF5-AC75-D4D6C984307E}">
  <dimension ref="A1:B123"/>
  <sheetViews>
    <sheetView workbookViewId="0">
      <selection activeCell="J67" sqref="J67"/>
    </sheetView>
  </sheetViews>
  <sheetFormatPr baseColWidth="10" defaultRowHeight="13.2" x14ac:dyDescent="0.25"/>
  <cols>
    <col min="1" max="256" width="8.88671875" style="11" customWidth="1"/>
    <col min="257" max="16384" width="11.5546875" style="11"/>
  </cols>
  <sheetData>
    <row r="1" spans="1:2" x14ac:dyDescent="0.25">
      <c r="A1" s="11" t="s">
        <v>131</v>
      </c>
      <c r="B1" s="11" t="s">
        <v>128</v>
      </c>
    </row>
    <row r="2" spans="1:2" x14ac:dyDescent="0.25">
      <c r="A2" s="11" t="s">
        <v>127</v>
      </c>
      <c r="B2" s="12">
        <v>0.5</v>
      </c>
    </row>
    <row r="3" spans="1:2" x14ac:dyDescent="0.25">
      <c r="A3" s="11" t="s">
        <v>126</v>
      </c>
      <c r="B3" s="12">
        <v>0.7</v>
      </c>
    </row>
    <row r="4" spans="1:2" x14ac:dyDescent="0.25">
      <c r="A4" s="11" t="s">
        <v>125</v>
      </c>
      <c r="B4" s="12">
        <v>0.6</v>
      </c>
    </row>
    <row r="5" spans="1:2" x14ac:dyDescent="0.25">
      <c r="A5" s="11" t="s">
        <v>124</v>
      </c>
      <c r="B5" s="12">
        <v>0.9</v>
      </c>
    </row>
    <row r="6" spans="1:2" x14ac:dyDescent="0.25">
      <c r="A6" s="11" t="s">
        <v>123</v>
      </c>
      <c r="B6" s="12">
        <v>0.7</v>
      </c>
    </row>
    <row r="7" spans="1:2" x14ac:dyDescent="0.25">
      <c r="A7" s="11" t="s">
        <v>122</v>
      </c>
      <c r="B7" s="12">
        <v>0.8</v>
      </c>
    </row>
    <row r="8" spans="1:2" x14ac:dyDescent="0.25">
      <c r="A8" s="11" t="s">
        <v>121</v>
      </c>
      <c r="B8" s="12">
        <v>0.4</v>
      </c>
    </row>
    <row r="9" spans="1:2" x14ac:dyDescent="0.25">
      <c r="A9" s="11" t="s">
        <v>120</v>
      </c>
      <c r="B9" s="12">
        <v>0.5</v>
      </c>
    </row>
    <row r="10" spans="1:2" x14ac:dyDescent="0.25">
      <c r="A10" s="11" t="s">
        <v>119</v>
      </c>
      <c r="B10" s="12">
        <v>0.5</v>
      </c>
    </row>
    <row r="11" spans="1:2" x14ac:dyDescent="0.25">
      <c r="A11" s="11" t="s">
        <v>118</v>
      </c>
      <c r="B11" s="12">
        <v>0.7</v>
      </c>
    </row>
    <row r="12" spans="1:2" x14ac:dyDescent="0.25">
      <c r="A12" s="11" t="s">
        <v>117</v>
      </c>
      <c r="B12" s="12">
        <v>0.7</v>
      </c>
    </row>
    <row r="13" spans="1:2" x14ac:dyDescent="0.25">
      <c r="A13" s="11" t="s">
        <v>116</v>
      </c>
      <c r="B13" s="12">
        <v>0.7</v>
      </c>
    </row>
    <row r="14" spans="1:2" x14ac:dyDescent="0.25">
      <c r="A14" s="11" t="s">
        <v>115</v>
      </c>
      <c r="B14" s="12">
        <v>1</v>
      </c>
    </row>
    <row r="15" spans="1:2" x14ac:dyDescent="0.25">
      <c r="A15" s="11" t="s">
        <v>114</v>
      </c>
      <c r="B15" s="12">
        <v>1.1000000000000001</v>
      </c>
    </row>
    <row r="16" spans="1:2" x14ac:dyDescent="0.25">
      <c r="A16" s="11" t="s">
        <v>113</v>
      </c>
      <c r="B16" s="12">
        <v>1</v>
      </c>
    </row>
    <row r="17" spans="1:2" x14ac:dyDescent="0.25">
      <c r="A17" s="11" t="s">
        <v>112</v>
      </c>
      <c r="B17" s="12">
        <v>0.7</v>
      </c>
    </row>
    <row r="18" spans="1:2" x14ac:dyDescent="0.25">
      <c r="A18" s="11" t="s">
        <v>111</v>
      </c>
      <c r="B18" s="12">
        <v>0.7</v>
      </c>
    </row>
    <row r="19" spans="1:2" x14ac:dyDescent="0.25">
      <c r="A19" s="11" t="s">
        <v>110</v>
      </c>
      <c r="B19" s="12">
        <v>0.9</v>
      </c>
    </row>
    <row r="20" spans="1:2" x14ac:dyDescent="0.25">
      <c r="A20" s="11" t="s">
        <v>109</v>
      </c>
      <c r="B20" s="12">
        <v>0.8</v>
      </c>
    </row>
    <row r="21" spans="1:2" x14ac:dyDescent="0.25">
      <c r="A21" s="11" t="s">
        <v>108</v>
      </c>
      <c r="B21" s="12">
        <v>0.7</v>
      </c>
    </row>
    <row r="22" spans="1:2" x14ac:dyDescent="0.25">
      <c r="A22" s="11" t="s">
        <v>107</v>
      </c>
      <c r="B22" s="12">
        <v>0.6</v>
      </c>
    </row>
    <row r="23" spans="1:2" x14ac:dyDescent="0.25">
      <c r="A23" s="11" t="s">
        <v>106</v>
      </c>
      <c r="B23" s="12">
        <v>0.6</v>
      </c>
    </row>
    <row r="24" spans="1:2" x14ac:dyDescent="0.25">
      <c r="A24" s="11" t="s">
        <v>105</v>
      </c>
      <c r="B24" s="12">
        <v>0.7</v>
      </c>
    </row>
    <row r="25" spans="1:2" x14ac:dyDescent="0.25">
      <c r="A25" s="11" t="s">
        <v>104</v>
      </c>
      <c r="B25" s="12">
        <v>0.7</v>
      </c>
    </row>
    <row r="26" spans="1:2" x14ac:dyDescent="0.25">
      <c r="A26" s="11" t="s">
        <v>103</v>
      </c>
      <c r="B26" s="12">
        <v>0.5</v>
      </c>
    </row>
    <row r="27" spans="1:2" x14ac:dyDescent="0.25">
      <c r="A27" s="11" t="s">
        <v>102</v>
      </c>
      <c r="B27" s="12">
        <v>0.3</v>
      </c>
    </row>
    <row r="28" spans="1:2" x14ac:dyDescent="0.25">
      <c r="A28" s="11" t="s">
        <v>101</v>
      </c>
      <c r="B28" s="12">
        <v>0.1</v>
      </c>
    </row>
    <row r="29" spans="1:2" x14ac:dyDescent="0.25">
      <c r="A29" s="11" t="s">
        <v>100</v>
      </c>
      <c r="B29" s="12">
        <v>-0.1</v>
      </c>
    </row>
    <row r="30" spans="1:2" x14ac:dyDescent="0.25">
      <c r="A30" s="11" t="s">
        <v>99</v>
      </c>
      <c r="B30" s="12">
        <v>-0.1</v>
      </c>
    </row>
    <row r="31" spans="1:2" x14ac:dyDescent="0.25">
      <c r="A31" s="11" t="s">
        <v>98</v>
      </c>
      <c r="B31" s="12">
        <v>0.2</v>
      </c>
    </row>
    <row r="32" spans="1:2" x14ac:dyDescent="0.25">
      <c r="A32" s="11" t="s">
        <v>97</v>
      </c>
      <c r="B32" s="12">
        <v>0.4</v>
      </c>
    </row>
    <row r="33" spans="1:2" x14ac:dyDescent="0.25">
      <c r="A33" s="11" t="s">
        <v>96</v>
      </c>
      <c r="B33" s="12">
        <v>0.5</v>
      </c>
    </row>
    <row r="34" spans="1:2" x14ac:dyDescent="0.25">
      <c r="A34" s="11" t="s">
        <v>95</v>
      </c>
      <c r="B34" s="12">
        <v>0.3</v>
      </c>
    </row>
    <row r="35" spans="1:2" x14ac:dyDescent="0.25">
      <c r="A35" s="11" t="s">
        <v>94</v>
      </c>
      <c r="B35" s="12">
        <v>0.3</v>
      </c>
    </row>
    <row r="36" spans="1:2" x14ac:dyDescent="0.25">
      <c r="A36" s="11" t="s">
        <v>93</v>
      </c>
      <c r="B36" s="12">
        <v>0.3</v>
      </c>
    </row>
    <row r="37" spans="1:2" x14ac:dyDescent="0.25">
      <c r="A37" s="11" t="s">
        <v>92</v>
      </c>
      <c r="B37" s="12">
        <v>0.1</v>
      </c>
    </row>
    <row r="38" spans="1:2" x14ac:dyDescent="0.25">
      <c r="A38" s="11" t="s">
        <v>91</v>
      </c>
      <c r="B38" s="12">
        <v>0</v>
      </c>
    </row>
    <row r="39" spans="1:2" x14ac:dyDescent="0.25">
      <c r="A39" s="11" t="s">
        <v>90</v>
      </c>
      <c r="B39" s="12">
        <v>0.1</v>
      </c>
    </row>
    <row r="40" spans="1:2" x14ac:dyDescent="0.25">
      <c r="A40" s="11" t="s">
        <v>89</v>
      </c>
      <c r="B40" s="12">
        <v>0.5</v>
      </c>
    </row>
    <row r="41" spans="1:2" x14ac:dyDescent="0.25">
      <c r="A41" s="11" t="s">
        <v>88</v>
      </c>
      <c r="B41" s="12">
        <v>0.5</v>
      </c>
    </row>
    <row r="42" spans="1:2" x14ac:dyDescent="0.25">
      <c r="A42" s="11" t="s">
        <v>87</v>
      </c>
      <c r="B42" s="12">
        <v>0.3</v>
      </c>
    </row>
    <row r="43" spans="1:2" x14ac:dyDescent="0.25">
      <c r="A43" s="11" t="s">
        <v>86</v>
      </c>
      <c r="B43" s="12">
        <v>0.2</v>
      </c>
    </row>
    <row r="44" spans="1:2" x14ac:dyDescent="0.25">
      <c r="A44" s="11" t="s">
        <v>85</v>
      </c>
      <c r="B44" s="12">
        <v>0.6</v>
      </c>
    </row>
    <row r="45" spans="1:2" x14ac:dyDescent="0.25">
      <c r="A45" s="11" t="s">
        <v>84</v>
      </c>
      <c r="B45" s="12">
        <v>0.8</v>
      </c>
    </row>
    <row r="46" spans="1:2" x14ac:dyDescent="0.25">
      <c r="A46" s="11" t="s">
        <v>83</v>
      </c>
      <c r="B46" s="12">
        <v>0.7</v>
      </c>
    </row>
    <row r="47" spans="1:2" x14ac:dyDescent="0.25">
      <c r="A47" s="11" t="s">
        <v>82</v>
      </c>
      <c r="B47" s="12">
        <v>0.3</v>
      </c>
    </row>
    <row r="48" spans="1:2" x14ac:dyDescent="0.25">
      <c r="A48" s="11" t="s">
        <v>81</v>
      </c>
      <c r="B48" s="12">
        <v>0.1</v>
      </c>
    </row>
    <row r="49" spans="1:2" x14ac:dyDescent="0.25">
      <c r="A49" s="11" t="s">
        <v>80</v>
      </c>
      <c r="B49" s="12">
        <v>0</v>
      </c>
    </row>
    <row r="50" spans="1:2" x14ac:dyDescent="0.25">
      <c r="A50" s="11" t="s">
        <v>79</v>
      </c>
      <c r="B50" s="12">
        <v>0</v>
      </c>
    </row>
    <row r="51" spans="1:2" x14ac:dyDescent="0.25">
      <c r="A51" s="11" t="s">
        <v>78</v>
      </c>
      <c r="B51" s="12">
        <v>0.1</v>
      </c>
    </row>
    <row r="52" spans="1:2" x14ac:dyDescent="0.25">
      <c r="A52" s="11" t="s">
        <v>77</v>
      </c>
      <c r="B52" s="12">
        <v>-2.5</v>
      </c>
    </row>
    <row r="53" spans="1:2" x14ac:dyDescent="0.25">
      <c r="A53" s="11" t="s">
        <v>76</v>
      </c>
      <c r="B53" s="12">
        <v>-10.9</v>
      </c>
    </row>
    <row r="54" spans="1:2" x14ac:dyDescent="0.25">
      <c r="A54" s="11" t="s">
        <v>75</v>
      </c>
      <c r="B54" s="12">
        <v>-18.899999999999999</v>
      </c>
    </row>
    <row r="55" spans="1:2" x14ac:dyDescent="0.25">
      <c r="A55" s="11" t="s">
        <v>74</v>
      </c>
      <c r="B55" s="12">
        <v>-19.899999999999999</v>
      </c>
    </row>
    <row r="56" spans="1:2" x14ac:dyDescent="0.25">
      <c r="A56" s="11" t="s">
        <v>73</v>
      </c>
      <c r="B56" s="12">
        <v>-6.9</v>
      </c>
    </row>
    <row r="57" spans="1:2" x14ac:dyDescent="0.25">
      <c r="A57" s="11" t="s">
        <v>72</v>
      </c>
      <c r="B57" s="12">
        <v>8.6999999999999993</v>
      </c>
    </row>
    <row r="58" spans="1:2" x14ac:dyDescent="0.25">
      <c r="A58" s="11" t="s">
        <v>71</v>
      </c>
      <c r="B58" s="12">
        <v>17.100000000000001</v>
      </c>
    </row>
    <row r="59" spans="1:2" x14ac:dyDescent="0.25">
      <c r="A59" s="11" t="s">
        <v>70</v>
      </c>
      <c r="B59" s="12">
        <v>12.3</v>
      </c>
    </row>
    <row r="60" spans="1:2" x14ac:dyDescent="0.25">
      <c r="A60" s="11" t="s">
        <v>69</v>
      </c>
      <c r="B60" s="12">
        <v>5.4</v>
      </c>
    </row>
    <row r="61" spans="1:2" x14ac:dyDescent="0.25">
      <c r="A61" s="11" t="s">
        <v>68</v>
      </c>
      <c r="B61" s="12">
        <v>1.5</v>
      </c>
    </row>
    <row r="62" spans="1:2" x14ac:dyDescent="0.25">
      <c r="A62" s="11" t="s">
        <v>67</v>
      </c>
      <c r="B62" s="12">
        <v>-1.4</v>
      </c>
    </row>
    <row r="63" spans="1:2" x14ac:dyDescent="0.25">
      <c r="A63" s="11" t="s">
        <v>66</v>
      </c>
      <c r="B63" s="12">
        <v>-1.4</v>
      </c>
    </row>
    <row r="64" spans="1:2" x14ac:dyDescent="0.25">
      <c r="A64" s="11" t="s">
        <v>65</v>
      </c>
      <c r="B64" s="12">
        <v>-1.1000000000000001</v>
      </c>
    </row>
    <row r="65" spans="1:2" x14ac:dyDescent="0.25">
      <c r="A65" s="11" t="s">
        <v>64</v>
      </c>
      <c r="B65" s="12">
        <v>2.6</v>
      </c>
    </row>
    <row r="66" spans="1:2" x14ac:dyDescent="0.25">
      <c r="A66" s="11" t="s">
        <v>63</v>
      </c>
      <c r="B66" s="12">
        <v>5.3</v>
      </c>
    </row>
    <row r="67" spans="1:2" x14ac:dyDescent="0.25">
      <c r="A67" s="11" t="s">
        <v>62</v>
      </c>
      <c r="B67" s="12">
        <v>7</v>
      </c>
    </row>
    <row r="68" spans="1:2" x14ac:dyDescent="0.25">
      <c r="A68" s="11" t="s">
        <v>61</v>
      </c>
      <c r="B68" s="12">
        <v>5.0999999999999996</v>
      </c>
    </row>
    <row r="69" spans="1:2" x14ac:dyDescent="0.25">
      <c r="A69" s="11" t="s">
        <v>60</v>
      </c>
      <c r="B69" s="12">
        <v>3</v>
      </c>
    </row>
    <row r="70" spans="1:2" x14ac:dyDescent="0.25">
      <c r="A70" s="11" t="s">
        <v>59</v>
      </c>
      <c r="B70" s="12">
        <v>1.6</v>
      </c>
    </row>
    <row r="71" spans="1:2" x14ac:dyDescent="0.25">
      <c r="A71" s="11" t="s">
        <v>58</v>
      </c>
      <c r="B71" s="12">
        <v>1.5</v>
      </c>
    </row>
    <row r="72" spans="1:2" x14ac:dyDescent="0.25">
      <c r="A72" s="11" t="s">
        <v>57</v>
      </c>
      <c r="B72" s="12">
        <v>1.4</v>
      </c>
    </row>
    <row r="73" spans="1:2" x14ac:dyDescent="0.25">
      <c r="A73" s="11" t="s">
        <v>56</v>
      </c>
      <c r="B73" s="12">
        <v>1.2</v>
      </c>
    </row>
    <row r="74" spans="1:2" x14ac:dyDescent="0.25">
      <c r="A74" s="11" t="s">
        <v>55</v>
      </c>
      <c r="B74" s="12">
        <v>0.9</v>
      </c>
    </row>
    <row r="75" spans="1:2" x14ac:dyDescent="0.25">
      <c r="A75" s="11" t="s">
        <v>54</v>
      </c>
      <c r="B75" s="12">
        <v>0.7</v>
      </c>
    </row>
    <row r="76" spans="1:2" x14ac:dyDescent="0.25">
      <c r="A76" s="11" t="s">
        <v>53</v>
      </c>
      <c r="B76" s="12">
        <v>0.9</v>
      </c>
    </row>
    <row r="77" spans="1:2" x14ac:dyDescent="0.25">
      <c r="A77" s="11" t="s">
        <v>52</v>
      </c>
      <c r="B77" s="12">
        <v>0.8</v>
      </c>
    </row>
    <row r="78" spans="1:2" x14ac:dyDescent="0.25">
      <c r="A78" s="11" t="s">
        <v>51</v>
      </c>
      <c r="B78" s="12">
        <v>0.8</v>
      </c>
    </row>
    <row r="79" spans="1:2" x14ac:dyDescent="0.25">
      <c r="A79" s="11" t="s">
        <v>50</v>
      </c>
      <c r="B79" s="12">
        <v>0.5</v>
      </c>
    </row>
    <row r="80" spans="1:2" x14ac:dyDescent="0.25">
      <c r="A80" s="11" t="s">
        <v>49</v>
      </c>
      <c r="B80" s="12">
        <v>0.4</v>
      </c>
    </row>
    <row r="81" spans="1:2" x14ac:dyDescent="0.25">
      <c r="A81" s="11" t="s">
        <v>48</v>
      </c>
      <c r="B81" s="12">
        <v>0.1</v>
      </c>
    </row>
    <row r="82" spans="1:2" x14ac:dyDescent="0.25">
      <c r="A82" s="11" t="s">
        <v>47</v>
      </c>
      <c r="B82" s="12">
        <v>0</v>
      </c>
    </row>
    <row r="83" spans="1:2" x14ac:dyDescent="0.25">
      <c r="A83" s="11" t="s">
        <v>46</v>
      </c>
      <c r="B83" s="12">
        <v>0</v>
      </c>
    </row>
    <row r="84" spans="1:2" x14ac:dyDescent="0.25">
      <c r="A84" s="11" t="s">
        <v>45</v>
      </c>
      <c r="B84" s="12">
        <v>0.1</v>
      </c>
    </row>
    <row r="85" spans="1:2" x14ac:dyDescent="0.25">
      <c r="A85" s="11" t="s">
        <v>44</v>
      </c>
      <c r="B85" s="12">
        <v>0.4</v>
      </c>
    </row>
    <row r="86" spans="1:2" x14ac:dyDescent="0.25">
      <c r="A86" s="11" t="s">
        <v>43</v>
      </c>
      <c r="B86" s="12">
        <v>0.3</v>
      </c>
    </row>
    <row r="87" spans="1:2" x14ac:dyDescent="0.25">
      <c r="A87" s="11" t="s">
        <v>42</v>
      </c>
      <c r="B87" s="12">
        <v>0.2</v>
      </c>
    </row>
    <row r="88" spans="1:2" x14ac:dyDescent="0.25">
      <c r="A88" s="11" t="s">
        <v>41</v>
      </c>
      <c r="B88" s="12">
        <v>0.1</v>
      </c>
    </row>
    <row r="89" spans="1:2" x14ac:dyDescent="0.25">
      <c r="A89" s="11" t="s">
        <v>40</v>
      </c>
      <c r="B89" s="12">
        <v>0.1</v>
      </c>
    </row>
    <row r="90" spans="1:2" x14ac:dyDescent="0.25">
      <c r="A90" s="11" t="s">
        <v>39</v>
      </c>
      <c r="B90" s="12">
        <v>-0.1</v>
      </c>
    </row>
    <row r="91" spans="1:2" x14ac:dyDescent="0.25">
      <c r="A91" s="11" t="s">
        <v>38</v>
      </c>
      <c r="B91" s="12">
        <v>0</v>
      </c>
    </row>
    <row r="92" spans="1:2" x14ac:dyDescent="0.25">
      <c r="A92" s="11" t="s">
        <v>37</v>
      </c>
      <c r="B92" s="12">
        <v>0</v>
      </c>
    </row>
    <row r="93" spans="1:2" x14ac:dyDescent="0.25">
      <c r="A93" s="11" t="s">
        <v>36</v>
      </c>
      <c r="B93" s="12">
        <v>0.2</v>
      </c>
    </row>
    <row r="94" spans="1:2" x14ac:dyDescent="0.25">
      <c r="A94" s="11" t="s">
        <v>35</v>
      </c>
      <c r="B94" s="12">
        <v>-0.1</v>
      </c>
    </row>
    <row r="95" spans="1:2" x14ac:dyDescent="0.25">
      <c r="A95" s="11" t="s">
        <v>34</v>
      </c>
      <c r="B95" s="12">
        <v>-0.3</v>
      </c>
    </row>
    <row r="96" spans="1:2" x14ac:dyDescent="0.25">
      <c r="A96" s="11" t="s">
        <v>33</v>
      </c>
      <c r="B96" s="12">
        <v>-0.4</v>
      </c>
    </row>
    <row r="97" spans="1:2" x14ac:dyDescent="0.25">
      <c r="A97" s="11" t="s">
        <v>32</v>
      </c>
      <c r="B97" s="12">
        <v>-0.3</v>
      </c>
    </row>
    <row r="98" spans="1:2" x14ac:dyDescent="0.25">
      <c r="A98" s="11" t="s">
        <v>31</v>
      </c>
      <c r="B98" s="12">
        <v>0</v>
      </c>
    </row>
    <row r="99" spans="1:2" x14ac:dyDescent="0.25">
      <c r="A99" s="11" t="s">
        <v>30</v>
      </c>
      <c r="B99" s="12">
        <v>0.2</v>
      </c>
    </row>
    <row r="100" spans="1:2" x14ac:dyDescent="0.25">
      <c r="A100" s="11" t="s">
        <v>29</v>
      </c>
      <c r="B100" s="12">
        <v>0.6</v>
      </c>
    </row>
    <row r="101" spans="1:2" x14ac:dyDescent="0.25">
      <c r="A101" s="11" t="s">
        <v>28</v>
      </c>
      <c r="B101" s="12">
        <v>0.7</v>
      </c>
    </row>
    <row r="102" spans="1:2" x14ac:dyDescent="0.25">
      <c r="A102" s="11" t="s">
        <v>27</v>
      </c>
      <c r="B102" s="12">
        <v>0.8</v>
      </c>
    </row>
    <row r="103" spans="1:2" x14ac:dyDescent="0.25">
      <c r="A103" s="11" t="s">
        <v>26</v>
      </c>
      <c r="B103" s="12">
        <v>0.6</v>
      </c>
    </row>
    <row r="104" spans="1:2" x14ac:dyDescent="0.25">
      <c r="A104" s="11" t="s">
        <v>25</v>
      </c>
      <c r="B104" s="12">
        <v>0.4</v>
      </c>
    </row>
    <row r="105" spans="1:2" x14ac:dyDescent="0.25">
      <c r="A105" s="11" t="s">
        <v>24</v>
      </c>
      <c r="B105" s="12">
        <v>0.1</v>
      </c>
    </row>
    <row r="106" spans="1:2" x14ac:dyDescent="0.25">
      <c r="A106" s="11" t="s">
        <v>23</v>
      </c>
      <c r="B106" s="12">
        <v>0.1</v>
      </c>
    </row>
    <row r="107" spans="1:2" x14ac:dyDescent="0.25">
      <c r="A107" s="11" t="s">
        <v>22</v>
      </c>
      <c r="B107" s="12">
        <v>0.2</v>
      </c>
    </row>
    <row r="108" spans="1:2" x14ac:dyDescent="0.25">
      <c r="A108" s="11" t="s">
        <v>21</v>
      </c>
      <c r="B108" s="12">
        <v>0.2</v>
      </c>
    </row>
    <row r="109" spans="1:2" x14ac:dyDescent="0.25">
      <c r="A109" s="11" t="s">
        <v>20</v>
      </c>
      <c r="B109" s="12">
        <v>0.4</v>
      </c>
    </row>
    <row r="110" spans="1:2" x14ac:dyDescent="0.25">
      <c r="A110" s="11" t="s">
        <v>19</v>
      </c>
      <c r="B110" s="12">
        <v>0.4</v>
      </c>
    </row>
    <row r="111" spans="1:2" x14ac:dyDescent="0.25">
      <c r="A111" s="11" t="s">
        <v>18</v>
      </c>
      <c r="B111" s="12">
        <v>0.6</v>
      </c>
    </row>
    <row r="112" spans="1:2" x14ac:dyDescent="0.25">
      <c r="A112" s="11" t="s">
        <v>17</v>
      </c>
      <c r="B112" s="12">
        <v>0.6</v>
      </c>
    </row>
    <row r="113" spans="1:2" x14ac:dyDescent="0.25">
      <c r="A113" s="11" t="s">
        <v>16</v>
      </c>
      <c r="B113" s="12">
        <v>0.5</v>
      </c>
    </row>
    <row r="114" spans="1:2" x14ac:dyDescent="0.25">
      <c r="A114" s="11" t="s">
        <v>15</v>
      </c>
      <c r="B114" s="12">
        <v>0.3</v>
      </c>
    </row>
    <row r="115" spans="1:2" x14ac:dyDescent="0.25">
      <c r="A115" s="11" t="s">
        <v>14</v>
      </c>
      <c r="B115" s="12">
        <v>0.1</v>
      </c>
    </row>
    <row r="116" spans="1:2" x14ac:dyDescent="0.25">
      <c r="A116" s="11" t="s">
        <v>13</v>
      </c>
      <c r="B116" s="12">
        <v>0.1</v>
      </c>
    </row>
    <row r="117" spans="1:2" x14ac:dyDescent="0.25">
      <c r="A117" s="11" t="s">
        <v>12</v>
      </c>
      <c r="B117" s="12">
        <v>0.2</v>
      </c>
    </row>
    <row r="118" spans="1:2" x14ac:dyDescent="0.25">
      <c r="A118" s="11" t="s">
        <v>11</v>
      </c>
      <c r="B118" s="12">
        <v>0</v>
      </c>
    </row>
    <row r="119" spans="1:2" x14ac:dyDescent="0.25">
      <c r="A119" s="11" t="s">
        <v>10</v>
      </c>
      <c r="B119" s="12">
        <v>-0.1</v>
      </c>
    </row>
    <row r="120" spans="1:2" x14ac:dyDescent="0.25">
      <c r="A120" s="11" t="s">
        <v>9</v>
      </c>
      <c r="B120" s="12">
        <v>-0.1</v>
      </c>
    </row>
    <row r="121" spans="1:2" x14ac:dyDescent="0.25">
      <c r="A121" s="11" t="s">
        <v>8</v>
      </c>
      <c r="B121" s="12">
        <v>0</v>
      </c>
    </row>
    <row r="122" spans="1:2" x14ac:dyDescent="0.25">
      <c r="A122" s="11" t="s">
        <v>7</v>
      </c>
      <c r="B122" s="12">
        <v>0.3</v>
      </c>
    </row>
    <row r="123" spans="1:2" x14ac:dyDescent="0.25">
      <c r="A123" s="11" t="s">
        <v>6</v>
      </c>
      <c r="B123" s="12">
        <v>0.5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3F10-46EC-4BFB-9425-1B4D67768019}">
  <dimension ref="A1:E83"/>
  <sheetViews>
    <sheetView zoomScale="85" zoomScaleNormal="85" workbookViewId="0">
      <selection activeCell="C10" sqref="C10"/>
    </sheetView>
  </sheetViews>
  <sheetFormatPr baseColWidth="10" defaultRowHeight="14.4" x14ac:dyDescent="0.3"/>
  <cols>
    <col min="1" max="1" width="15.5546875" style="8" customWidth="1"/>
    <col min="2" max="2" width="6.44140625" style="8" customWidth="1"/>
    <col min="3" max="3" width="11.5546875" style="8"/>
    <col min="4" max="4" width="20.33203125" style="16" customWidth="1"/>
    <col min="5" max="16384" width="11.5546875" style="8"/>
  </cols>
  <sheetData>
    <row r="1" spans="1:5" x14ac:dyDescent="0.3">
      <c r="A1" s="18" t="s">
        <v>5</v>
      </c>
      <c r="B1" s="19"/>
    </row>
    <row r="2" spans="1:5" x14ac:dyDescent="0.3">
      <c r="A2" s="10" t="s">
        <v>134</v>
      </c>
      <c r="B2" s="10" t="s">
        <v>4</v>
      </c>
      <c r="D2" s="16" t="s">
        <v>133</v>
      </c>
    </row>
    <row r="3" spans="1:5" x14ac:dyDescent="0.3">
      <c r="A3" s="16">
        <v>46009</v>
      </c>
      <c r="B3" s="9">
        <v>3.75</v>
      </c>
      <c r="D3" s="16">
        <v>46100</v>
      </c>
      <c r="E3" s="9">
        <v>3.75</v>
      </c>
    </row>
    <row r="4" spans="1:5" x14ac:dyDescent="0.3">
      <c r="A4" s="16">
        <v>45876</v>
      </c>
      <c r="B4" s="9">
        <v>4</v>
      </c>
      <c r="D4" s="16">
        <v>46058</v>
      </c>
      <c r="E4" s="9">
        <v>3.75</v>
      </c>
    </row>
    <row r="5" spans="1:5" x14ac:dyDescent="0.3">
      <c r="A5" s="16">
        <v>45785</v>
      </c>
      <c r="B5" s="9">
        <v>4.25</v>
      </c>
      <c r="D5" s="16">
        <v>46009</v>
      </c>
      <c r="E5" s="9">
        <v>3.75</v>
      </c>
    </row>
    <row r="6" spans="1:5" x14ac:dyDescent="0.3">
      <c r="A6" s="16">
        <v>45694</v>
      </c>
      <c r="B6" s="9">
        <v>4.5</v>
      </c>
      <c r="D6" s="16">
        <v>45967</v>
      </c>
      <c r="E6" s="8">
        <v>4</v>
      </c>
    </row>
    <row r="7" spans="1:5" x14ac:dyDescent="0.3">
      <c r="A7" s="16">
        <v>45603</v>
      </c>
      <c r="B7" s="9">
        <v>4.75</v>
      </c>
      <c r="D7" s="16">
        <v>45918</v>
      </c>
      <c r="E7" s="8">
        <v>4</v>
      </c>
    </row>
    <row r="8" spans="1:5" x14ac:dyDescent="0.3">
      <c r="A8" s="16">
        <v>45505</v>
      </c>
      <c r="B8" s="9">
        <v>5</v>
      </c>
      <c r="D8" s="16">
        <v>45876</v>
      </c>
      <c r="E8" s="8">
        <v>4</v>
      </c>
    </row>
    <row r="9" spans="1:5" x14ac:dyDescent="0.3">
      <c r="A9" s="16">
        <v>45141</v>
      </c>
      <c r="B9" s="9">
        <v>5.25</v>
      </c>
      <c r="D9" s="16">
        <v>45827</v>
      </c>
      <c r="E9" s="8">
        <v>4.25</v>
      </c>
    </row>
    <row r="10" spans="1:5" x14ac:dyDescent="0.3">
      <c r="A10" s="16">
        <v>45099</v>
      </c>
      <c r="B10" s="9">
        <v>5</v>
      </c>
      <c r="D10" s="16">
        <v>45785</v>
      </c>
      <c r="E10" s="8">
        <v>4.25</v>
      </c>
    </row>
    <row r="11" spans="1:5" x14ac:dyDescent="0.3">
      <c r="A11" s="16">
        <v>45057</v>
      </c>
      <c r="B11" s="9">
        <v>4.5</v>
      </c>
      <c r="D11" s="16">
        <v>45736</v>
      </c>
      <c r="E11" s="8">
        <v>4.5</v>
      </c>
    </row>
    <row r="12" spans="1:5" x14ac:dyDescent="0.3">
      <c r="A12" s="16">
        <v>45008</v>
      </c>
      <c r="B12" s="9">
        <v>4.25</v>
      </c>
      <c r="D12" s="16">
        <v>45694</v>
      </c>
      <c r="E12" s="8">
        <v>4.5</v>
      </c>
    </row>
    <row r="13" spans="1:5" x14ac:dyDescent="0.3">
      <c r="A13" s="16">
        <v>44959</v>
      </c>
      <c r="B13" s="9">
        <v>4</v>
      </c>
      <c r="D13" s="16">
        <v>45645</v>
      </c>
      <c r="E13" s="8">
        <v>4.75</v>
      </c>
    </row>
    <row r="14" spans="1:5" x14ac:dyDescent="0.3">
      <c r="A14" s="16">
        <v>44910</v>
      </c>
      <c r="B14" s="9">
        <v>3.5</v>
      </c>
      <c r="D14" s="16">
        <v>45603</v>
      </c>
      <c r="E14" s="8">
        <v>4.75</v>
      </c>
    </row>
    <row r="15" spans="1:5" x14ac:dyDescent="0.3">
      <c r="A15" s="16">
        <v>44868</v>
      </c>
      <c r="B15" s="9">
        <v>3</v>
      </c>
      <c r="D15" s="16">
        <v>45554</v>
      </c>
      <c r="E15" s="8">
        <v>5</v>
      </c>
    </row>
    <row r="16" spans="1:5" x14ac:dyDescent="0.3">
      <c r="A16" s="16">
        <v>44826</v>
      </c>
      <c r="B16" s="9">
        <v>2.25</v>
      </c>
      <c r="D16" s="16">
        <v>45505</v>
      </c>
      <c r="E16" s="8">
        <v>5</v>
      </c>
    </row>
    <row r="17" spans="1:5" x14ac:dyDescent="0.3">
      <c r="A17" s="16">
        <v>44777</v>
      </c>
      <c r="B17" s="9">
        <v>1.75</v>
      </c>
      <c r="D17" s="16">
        <v>45463</v>
      </c>
      <c r="E17" s="8">
        <v>5.25</v>
      </c>
    </row>
    <row r="18" spans="1:5" x14ac:dyDescent="0.3">
      <c r="A18" s="16">
        <v>44728</v>
      </c>
      <c r="B18" s="9">
        <v>1.25</v>
      </c>
      <c r="D18" s="16">
        <v>45421</v>
      </c>
      <c r="E18" s="8">
        <v>5.25</v>
      </c>
    </row>
    <row r="19" spans="1:5" x14ac:dyDescent="0.3">
      <c r="A19" s="16">
        <v>44686</v>
      </c>
      <c r="B19" s="9">
        <v>1</v>
      </c>
      <c r="D19" s="16">
        <v>45372</v>
      </c>
      <c r="E19" s="8">
        <v>5.25</v>
      </c>
    </row>
    <row r="20" spans="1:5" x14ac:dyDescent="0.3">
      <c r="A20" s="16">
        <v>44637</v>
      </c>
      <c r="B20" s="9">
        <v>0.75</v>
      </c>
      <c r="D20" s="16">
        <v>45323</v>
      </c>
      <c r="E20" s="8">
        <v>5.25</v>
      </c>
    </row>
    <row r="21" spans="1:5" x14ac:dyDescent="0.3">
      <c r="A21" s="16">
        <v>44595</v>
      </c>
      <c r="B21" s="9">
        <v>0.5</v>
      </c>
      <c r="D21" s="16">
        <v>45274</v>
      </c>
      <c r="E21" s="8">
        <v>5.25</v>
      </c>
    </row>
    <row r="22" spans="1:5" x14ac:dyDescent="0.3">
      <c r="A22" s="16">
        <v>44546</v>
      </c>
      <c r="B22" s="9">
        <v>0.25</v>
      </c>
      <c r="D22" s="16">
        <v>45232</v>
      </c>
      <c r="E22" s="8">
        <v>5.25</v>
      </c>
    </row>
    <row r="23" spans="1:5" x14ac:dyDescent="0.3">
      <c r="A23" s="16">
        <v>43909</v>
      </c>
      <c r="B23" s="9">
        <v>0.1</v>
      </c>
      <c r="D23" s="16">
        <v>45190</v>
      </c>
      <c r="E23" s="8">
        <v>5.25</v>
      </c>
    </row>
    <row r="24" spans="1:5" x14ac:dyDescent="0.3">
      <c r="A24" s="16">
        <v>43901</v>
      </c>
      <c r="B24" s="9">
        <v>0.25</v>
      </c>
      <c r="D24" s="16">
        <v>45141</v>
      </c>
      <c r="E24" s="8">
        <v>5.25</v>
      </c>
    </row>
    <row r="25" spans="1:5" x14ac:dyDescent="0.3">
      <c r="A25" s="16">
        <v>43314</v>
      </c>
      <c r="B25" s="9">
        <v>0.75</v>
      </c>
      <c r="D25" s="16">
        <v>45099</v>
      </c>
      <c r="E25" s="8">
        <v>5</v>
      </c>
    </row>
    <row r="26" spans="1:5" x14ac:dyDescent="0.3">
      <c r="A26" s="16">
        <v>43041</v>
      </c>
      <c r="B26" s="9">
        <v>0.5</v>
      </c>
      <c r="D26" s="16">
        <v>45057</v>
      </c>
      <c r="E26" s="8">
        <v>4.5</v>
      </c>
    </row>
    <row r="27" spans="1:5" x14ac:dyDescent="0.3">
      <c r="A27" s="16">
        <v>42586</v>
      </c>
      <c r="B27" s="9">
        <v>0.25</v>
      </c>
      <c r="D27" s="16">
        <v>45008</v>
      </c>
      <c r="E27" s="8">
        <v>4.25</v>
      </c>
    </row>
    <row r="28" spans="1:5" x14ac:dyDescent="0.3">
      <c r="D28" s="16">
        <v>44959</v>
      </c>
      <c r="E28" s="8">
        <v>4</v>
      </c>
    </row>
    <row r="29" spans="1:5" x14ac:dyDescent="0.3">
      <c r="D29" s="16">
        <v>44910</v>
      </c>
      <c r="E29" s="8">
        <v>3.5</v>
      </c>
    </row>
    <row r="30" spans="1:5" x14ac:dyDescent="0.3">
      <c r="D30" s="16">
        <v>44826</v>
      </c>
      <c r="E30" s="8">
        <v>2.25</v>
      </c>
    </row>
    <row r="31" spans="1:5" x14ac:dyDescent="0.3">
      <c r="D31" s="16">
        <v>44777</v>
      </c>
      <c r="E31" s="8">
        <v>1.75</v>
      </c>
    </row>
    <row r="32" spans="1:5" x14ac:dyDescent="0.3">
      <c r="D32" s="16">
        <v>44728</v>
      </c>
      <c r="E32" s="8">
        <v>1.25</v>
      </c>
    </row>
    <row r="33" spans="4:5" x14ac:dyDescent="0.3">
      <c r="D33" s="16">
        <v>44686</v>
      </c>
      <c r="E33" s="8">
        <v>1</v>
      </c>
    </row>
    <row r="34" spans="4:5" x14ac:dyDescent="0.3">
      <c r="D34" s="16">
        <v>44637</v>
      </c>
      <c r="E34" s="8">
        <v>0.75</v>
      </c>
    </row>
    <row r="35" spans="4:5" x14ac:dyDescent="0.3">
      <c r="D35" s="16">
        <v>44595</v>
      </c>
      <c r="E35" s="8">
        <v>0.5</v>
      </c>
    </row>
    <row r="36" spans="4:5" x14ac:dyDescent="0.3">
      <c r="D36" s="16">
        <v>44546</v>
      </c>
      <c r="E36" s="8">
        <v>0.25</v>
      </c>
    </row>
    <row r="37" spans="4:5" x14ac:dyDescent="0.3">
      <c r="D37" s="16">
        <v>44504</v>
      </c>
      <c r="E37" s="8">
        <v>0.75</v>
      </c>
    </row>
    <row r="38" spans="4:5" x14ac:dyDescent="0.3">
      <c r="D38" s="16">
        <v>44462</v>
      </c>
      <c r="E38" s="8">
        <v>0.75</v>
      </c>
    </row>
    <row r="39" spans="4:5" x14ac:dyDescent="0.3">
      <c r="D39" s="16">
        <v>44413</v>
      </c>
      <c r="E39" s="8">
        <v>0.75</v>
      </c>
    </row>
    <row r="40" spans="4:5" x14ac:dyDescent="0.3">
      <c r="D40" s="16">
        <v>44371</v>
      </c>
      <c r="E40" s="8">
        <v>0.75</v>
      </c>
    </row>
    <row r="41" spans="4:5" x14ac:dyDescent="0.3">
      <c r="D41" s="16">
        <v>44322</v>
      </c>
      <c r="E41" s="8">
        <v>0.75</v>
      </c>
    </row>
    <row r="42" spans="4:5" x14ac:dyDescent="0.3">
      <c r="D42" s="16">
        <v>44273</v>
      </c>
      <c r="E42" s="8">
        <v>0.75</v>
      </c>
    </row>
    <row r="43" spans="4:5" x14ac:dyDescent="0.3">
      <c r="D43" s="16">
        <v>44231</v>
      </c>
      <c r="E43" s="8">
        <v>0.75</v>
      </c>
    </row>
    <row r="44" spans="4:5" x14ac:dyDescent="0.3">
      <c r="D44" s="16">
        <v>44140</v>
      </c>
      <c r="E44" s="8">
        <v>0.75</v>
      </c>
    </row>
    <row r="45" spans="4:5" x14ac:dyDescent="0.3">
      <c r="D45" s="16">
        <v>44091</v>
      </c>
      <c r="E45" s="8">
        <v>0.75</v>
      </c>
    </row>
    <row r="46" spans="4:5" x14ac:dyDescent="0.3">
      <c r="D46" s="16">
        <v>44049</v>
      </c>
      <c r="E46" s="8">
        <v>0.75</v>
      </c>
    </row>
    <row r="47" spans="4:5" x14ac:dyDescent="0.3">
      <c r="D47" s="16">
        <v>44000</v>
      </c>
      <c r="E47" s="8">
        <v>0.75</v>
      </c>
    </row>
    <row r="48" spans="4:5" x14ac:dyDescent="0.3">
      <c r="D48" s="16">
        <v>43958</v>
      </c>
      <c r="E48" s="8">
        <v>0.75</v>
      </c>
    </row>
    <row r="49" spans="4:5" x14ac:dyDescent="0.3">
      <c r="D49" s="16">
        <v>43916</v>
      </c>
      <c r="E49" s="8">
        <v>0.75</v>
      </c>
    </row>
    <row r="50" spans="4:5" x14ac:dyDescent="0.3">
      <c r="D50" s="16">
        <v>43909</v>
      </c>
      <c r="E50" s="8">
        <v>0.75</v>
      </c>
    </row>
    <row r="51" spans="4:5" x14ac:dyDescent="0.3">
      <c r="D51" s="16">
        <v>43901</v>
      </c>
      <c r="E51" s="8">
        <v>0.75</v>
      </c>
    </row>
    <row r="52" spans="4:5" x14ac:dyDescent="0.3">
      <c r="D52" s="16">
        <v>43860</v>
      </c>
      <c r="E52" s="8">
        <v>0.75</v>
      </c>
    </row>
    <row r="53" spans="4:5" x14ac:dyDescent="0.3">
      <c r="D53" s="16">
        <v>43818</v>
      </c>
      <c r="E53" s="8">
        <v>0.75</v>
      </c>
    </row>
    <row r="54" spans="4:5" x14ac:dyDescent="0.3">
      <c r="D54" s="16">
        <v>43776</v>
      </c>
      <c r="E54" s="8">
        <v>0.75</v>
      </c>
    </row>
    <row r="55" spans="4:5" x14ac:dyDescent="0.3">
      <c r="D55" s="16">
        <v>43727</v>
      </c>
      <c r="E55" s="8">
        <v>0.75</v>
      </c>
    </row>
    <row r="56" spans="4:5" x14ac:dyDescent="0.3">
      <c r="D56" s="16">
        <v>43678</v>
      </c>
      <c r="E56" s="8">
        <v>0.75</v>
      </c>
    </row>
    <row r="57" spans="4:5" x14ac:dyDescent="0.3">
      <c r="D57" s="16">
        <v>43636</v>
      </c>
      <c r="E57" s="8">
        <v>0.75</v>
      </c>
    </row>
    <row r="58" spans="4:5" x14ac:dyDescent="0.3">
      <c r="D58" s="16">
        <v>43587</v>
      </c>
      <c r="E58" s="8">
        <v>0.75</v>
      </c>
    </row>
    <row r="59" spans="4:5" x14ac:dyDescent="0.3">
      <c r="D59" s="16">
        <v>43503</v>
      </c>
      <c r="E59" s="8">
        <v>0.75</v>
      </c>
    </row>
    <row r="60" spans="4:5" x14ac:dyDescent="0.3">
      <c r="D60" s="16">
        <v>43489</v>
      </c>
      <c r="E60" s="8">
        <v>0.75</v>
      </c>
    </row>
    <row r="61" spans="4:5" x14ac:dyDescent="0.3">
      <c r="D61" s="16">
        <v>43440</v>
      </c>
      <c r="E61" s="8">
        <v>0.75</v>
      </c>
    </row>
    <row r="62" spans="4:5" x14ac:dyDescent="0.3">
      <c r="D62" s="16">
        <v>43391</v>
      </c>
      <c r="E62" s="8">
        <v>0.75</v>
      </c>
    </row>
    <row r="63" spans="4:5" x14ac:dyDescent="0.3">
      <c r="D63" s="16">
        <v>43314</v>
      </c>
      <c r="E63" s="8">
        <v>0.75</v>
      </c>
    </row>
    <row r="64" spans="4:5" x14ac:dyDescent="0.3">
      <c r="D64" s="16">
        <v>43272</v>
      </c>
      <c r="E64" s="8">
        <v>0.5</v>
      </c>
    </row>
    <row r="65" spans="4:5" x14ac:dyDescent="0.3">
      <c r="D65" s="16">
        <v>43244</v>
      </c>
      <c r="E65" s="8">
        <v>0.5</v>
      </c>
    </row>
    <row r="66" spans="4:5" x14ac:dyDescent="0.3">
      <c r="D66" s="16">
        <v>43195</v>
      </c>
      <c r="E66" s="8">
        <v>0.5</v>
      </c>
    </row>
    <row r="67" spans="4:5" x14ac:dyDescent="0.3">
      <c r="D67" s="16">
        <v>43146</v>
      </c>
      <c r="E67" s="8">
        <v>0.5</v>
      </c>
    </row>
    <row r="68" spans="4:5" x14ac:dyDescent="0.3">
      <c r="D68" s="16">
        <v>43083</v>
      </c>
      <c r="E68" s="8">
        <v>0.5</v>
      </c>
    </row>
    <row r="69" spans="4:5" x14ac:dyDescent="0.3">
      <c r="D69" s="16">
        <v>43041</v>
      </c>
      <c r="E69" s="8">
        <v>0.5</v>
      </c>
    </row>
    <row r="70" spans="4:5" x14ac:dyDescent="0.3">
      <c r="D70" s="16">
        <v>42992</v>
      </c>
      <c r="E70" s="8">
        <v>0.25</v>
      </c>
    </row>
    <row r="71" spans="4:5" x14ac:dyDescent="0.3">
      <c r="D71" s="16">
        <v>42950</v>
      </c>
      <c r="E71" s="8">
        <v>0.25</v>
      </c>
    </row>
    <row r="72" spans="4:5" x14ac:dyDescent="0.3">
      <c r="D72" s="16">
        <v>42901</v>
      </c>
      <c r="E72" s="8">
        <v>0.25</v>
      </c>
    </row>
    <row r="73" spans="4:5" x14ac:dyDescent="0.3">
      <c r="D73" s="16">
        <v>42866</v>
      </c>
      <c r="E73" s="8">
        <v>0.25</v>
      </c>
    </row>
    <row r="74" spans="4:5" x14ac:dyDescent="0.3">
      <c r="D74" s="16">
        <v>42810</v>
      </c>
      <c r="E74" s="8">
        <v>0.25</v>
      </c>
    </row>
    <row r="75" spans="4:5" x14ac:dyDescent="0.3">
      <c r="D75" s="16">
        <v>42768</v>
      </c>
      <c r="E75" s="8">
        <v>0.25</v>
      </c>
    </row>
    <row r="76" spans="4:5" x14ac:dyDescent="0.3">
      <c r="D76" s="16">
        <v>42719</v>
      </c>
      <c r="E76" s="8">
        <v>0.25</v>
      </c>
    </row>
    <row r="77" spans="4:5" x14ac:dyDescent="0.3">
      <c r="D77" s="16">
        <v>42677</v>
      </c>
      <c r="E77" s="8">
        <v>0.25</v>
      </c>
    </row>
    <row r="78" spans="4:5" x14ac:dyDescent="0.3">
      <c r="D78" s="16">
        <v>42628</v>
      </c>
      <c r="E78" s="8">
        <v>0.25</v>
      </c>
    </row>
    <row r="79" spans="4:5" x14ac:dyDescent="0.3">
      <c r="D79" s="16">
        <v>42586</v>
      </c>
      <c r="E79" s="8">
        <v>0.25</v>
      </c>
    </row>
    <row r="80" spans="4:5" x14ac:dyDescent="0.3">
      <c r="D80" s="16">
        <v>42565</v>
      </c>
      <c r="E80" s="8">
        <v>0.5</v>
      </c>
    </row>
    <row r="81" spans="4:5" x14ac:dyDescent="0.3">
      <c r="D81" s="16">
        <v>42446</v>
      </c>
      <c r="E81" s="8">
        <v>0.5</v>
      </c>
    </row>
    <row r="82" spans="4:5" x14ac:dyDescent="0.3">
      <c r="D82" s="16">
        <v>42404</v>
      </c>
      <c r="E82" s="8">
        <v>0.5</v>
      </c>
    </row>
    <row r="83" spans="4:5" x14ac:dyDescent="0.3">
      <c r="D83" s="16">
        <v>42383</v>
      </c>
      <c r="E83" s="8">
        <v>0.5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57A690-2712-4F98-B209-61D8DA1CD5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OLS</vt:lpstr>
      <vt:lpstr>Market implied inflation</vt:lpstr>
      <vt:lpstr>Monthly CPI</vt:lpstr>
      <vt:lpstr>Synchronising Time</vt:lpstr>
      <vt:lpstr>Expected inflation</vt:lpstr>
      <vt:lpstr>Growth (GVA)</vt:lpstr>
      <vt:lpstr>Rate decisions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Sauvignon</dc:creator>
  <cp:lastModifiedBy>H.B. Sauvignon</cp:lastModifiedBy>
  <dcterms:created xsi:type="dcterms:W3CDTF">2026-04-16T17:28:58Z</dcterms:created>
  <dcterms:modified xsi:type="dcterms:W3CDTF">2026-04-21T17:43:59Z</dcterms:modified>
</cp:coreProperties>
</file>